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19820" tabRatio="699" firstSheet="0" activeTab="1" autoFilterDateGrouping="1"/>
  </bookViews>
  <sheets>
    <sheet name="afm" sheetId="1" state="hidden" r:id="rId1"/>
    <sheet name="Testcases" sheetId="2" state="visible" r:id="rId2"/>
    <sheet name="mortaro" sheetId="3" state="hidden" r:id="rId3"/>
    <sheet name="Execution Summary" sheetId="4" state="visible" r:id="rId4"/>
  </sheets>
  <definedNames>
    <definedName name="_xlnm._FilterDatabase" localSheetId="1" hidden="1">'Testcases'!$A$2:$L$698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1A1A3E"/>
      <sz val="10"/>
    </font>
    <font>
      <name val="Calibri"/>
      <family val="2"/>
      <b val="1"/>
      <color rgb="FFFFFFFF"/>
      <sz val="13"/>
    </font>
    <font>
      <name val="Calibri"/>
      <family val="2"/>
      <b val="1"/>
      <color rgb="FFFFBF00"/>
      <sz val="10"/>
    </font>
    <font>
      <name val="Calibri"/>
      <family val="2"/>
      <color rgb="FF000000"/>
      <sz val="11"/>
    </font>
    <font>
      <name val="Consolas"/>
      <family val="3"/>
      <sz val="10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sz val="13"/>
    </font>
    <font>
      <name val="Calibri"/>
      <family val="2"/>
      <b val="1"/>
      <sz val="11"/>
    </font>
    <font>
      <name val="Calibri"/>
      <family val="2"/>
      <sz val="11"/>
    </font>
  </fonts>
  <fills count="11">
    <fill>
      <patternFill/>
    </fill>
    <fill>
      <patternFill patternType="gray125"/>
    </fill>
    <fill>
      <patternFill patternType="solid">
        <fgColor rgb="FF2C3446"/>
      </patternFill>
    </fill>
    <fill>
      <patternFill patternType="solid">
        <fgColor rgb="FF3C5078"/>
      </patternFill>
    </fill>
    <fill>
      <patternFill patternType="solid">
        <fgColor rgb="FFCFD5EA"/>
      </patternFill>
    </fill>
    <fill>
      <patternFill patternType="solid">
        <fgColor rgb="FFE9EBF5"/>
      </patternFill>
    </fill>
    <fill>
      <patternFill patternType="solid">
        <fgColor rgb="FFDDEBF7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rgb="FF8899BB"/>
      </left>
      <right style="thin">
        <color rgb="FF8899BB"/>
      </right>
      <top style="thin">
        <color rgb="FF8899BB"/>
      </top>
      <bottom style="thin">
        <color rgb="FF8899B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8" borderId="0" pivotButton="0" quotePrefix="0" xfId="0"/>
    <xf numFmtId="0" fontId="0" fillId="0" borderId="2" pivotButton="0" quotePrefix="0" xfId="0"/>
    <xf numFmtId="0" fontId="1" fillId="7" borderId="2" pivotButton="0" quotePrefix="0" xfId="0"/>
    <xf numFmtId="0" fontId="6" fillId="0" borderId="2" pivotButton="0" quotePrefix="0" xfId="0"/>
    <xf numFmtId="0" fontId="5" fillId="0" borderId="2" pivotButton="0" quotePrefix="0" xfId="0"/>
    <xf numFmtId="0" fontId="6" fillId="8" borderId="2" pivotButton="0" quotePrefix="0" xfId="0"/>
    <xf numFmtId="0" fontId="5" fillId="8" borderId="2" pivotButton="0" quotePrefix="0" xfId="0"/>
    <xf numFmtId="0" fontId="6" fillId="6" borderId="2" pivotButton="0" quotePrefix="0" xfId="0"/>
    <xf numFmtId="0" fontId="5" fillId="6" borderId="2" pivotButton="0" quotePrefix="0" xfId="0"/>
    <xf numFmtId="0" fontId="0" fillId="0" borderId="2" applyAlignment="1" pivotButton="0" quotePrefix="0" xfId="0">
      <alignment wrapText="1"/>
    </xf>
    <xf numFmtId="0" fontId="8" fillId="9" borderId="3" pivotButton="0" quotePrefix="0" xfId="0"/>
    <xf numFmtId="0" fontId="0" fillId="0" borderId="3" pivotButton="0" quotePrefix="0" xfId="0"/>
    <xf numFmtId="0" fontId="0" fillId="8" borderId="3" pivotButton="0" quotePrefix="0" xfId="0"/>
    <xf numFmtId="0" fontId="8" fillId="9" borderId="4" pivotButton="0" quotePrefix="0" xfId="0"/>
    <xf numFmtId="0" fontId="0" fillId="0" borderId="4" pivotButton="0" quotePrefix="0" xfId="0"/>
    <xf numFmtId="0" fontId="9" fillId="10" borderId="2" pivotButton="0" quotePrefix="0" xfId="0"/>
    <xf numFmtId="0" fontId="8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8" borderId="3" applyAlignment="1" pivotButton="0" quotePrefix="0" xfId="0">
      <alignment vertical="top" wrapText="1"/>
    </xf>
    <xf numFmtId="0" fontId="10" fillId="0" borderId="0" pivotButton="0" quotePrefix="0" xfId="0"/>
    <xf numFmtId="0" fontId="1" fillId="7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helios-tests</author>
  </authors>
  <commentList>
    <comment ref="C11" authorId="0" shapeId="0">
      <text>
        <t>Original title (BKC-26.12 plan): Compute Health On Management Network Flap
Retitled 19 Oct 2026 for consistency (link flap cases).</t>
      </text>
    </comment>
    <comment ref="C12" authorId="0" shapeId="0">
      <text>
        <t>Original title (BKC-26.12 plan): Compute Link Flap
Retitled 19 Oct 2026 for consistency (link flap cases).</t>
      </text>
    </comment>
    <comment ref="C14" authorId="0" shapeId="0">
      <text>
        <t>Original title (BKC-26.12 plan): Switch Link Flap Single ASIC
Retitled 19 Oct 2026 for consistency (link flap cases).</t>
      </text>
    </comment>
    <comment ref="C15" authorId="0" shapeId="0">
      <text>
        <t>Original title (BKC-26.12 plan): Switch Prolonged Link Down Single ASIC
Retitled 19 Oct 2026 for consistency (link flap cases).</t>
      </text>
    </comment>
    <comment ref="C16" authorId="0" shapeId="0">
      <text>
        <t>Original title (BKC-26.12 plan): Switch Link Flap Both ASICs
Retitled 19 Oct 2026 for consistency (link flap cases).</t>
      </text>
    </comment>
    <comment ref="C17" authorId="0" shapeId="0">
      <text>
        <t>Original title (BKC-26.12 plan): Switch Prolonged Link Down Both ASICs
Retitled 19 Oct 2026 for consistency (link flap cases).</t>
      </text>
    </comment>
    <comment ref="C18" authorId="0" shapeId="0">
      <text>
        <t>Original title (BKC-26.12 plan): vPod Auto Reconfigure On Link Down
Retitled 19 Oct 2026 for consistency (link flap cases).</t>
      </text>
    </comment>
    <comment ref="C19" authorId="0" shapeId="0">
      <text>
        <t>Original title (BKC-26.12 plan): vPod Manual Reconfigure On Link Down
Retitled 19 Oct 2026 for consistency (link flap cases).</t>
      </text>
    </comment>
    <comment ref="C20" authorId="0" shapeId="0">
      <text>
        <t>Original title (BKC-26.12 plan): Switch Link Down Reconciliation And Port Events
Retitled 19 Oct 2026 for consistency (link flap cases).</t>
      </text>
    </comment>
    <comment ref="C38" authorId="0" shapeId="0">
      <text>
        <t>Original title (BKC-26.12 plan): Switch Decommission Readmit With Port Down
Retitled 19 Oct 2026 for consistency (link flap cases).</t>
      </text>
    </comment>
    <comment ref="C43" authorId="0" shapeId="0">
      <text>
        <t>Original title (BKC-26.12 plan): vPod Degraded On Link Down During Create
Retitled 19 Oct 2026 for consistency (link flap cases).</t>
      </text>
    </comment>
    <comment ref="C44" authorId="0" shapeId="0">
      <text>
        <t>Original title (BKC-26.12 plan): Custom Failover Policy Link Fail Timer
Retitled 19 Oct 2026 for consistency (link flap cases).</t>
      </text>
    </comment>
    <comment ref="C45" authorId="0" shapeId="0">
      <text>
        <t>Original title (BKC-26.12 plan): Manual Failover Policy Link Fail Timer
Retitled 19 Oct 2026 for consistency (link flap cases).</t>
      </text>
    </comment>
    <comment ref="C116" authorId="0" shapeId="0">
      <text>
        <t>Original title (BKC-26.12 plan): Link-Flap Negotiation Recovery
Retitled 19 Oct 2026 for consistency (link flap cases).</t>
      </text>
    </comment>
    <comment ref="C120" authorId="0" shapeId="0">
      <text>
        <t>Original title (BKC-26.12 plan): Compute Port Shut / Restore Recovery
Retitled 19 Oct 2026 for consistency (link flap cases).</t>
      </text>
    </comment>
    <comment ref="C145" authorId="0" shapeId="0">
      <text>
        <t>Original title (BKC-26.12 plan): DP traffic survives link flap
Retitled 19 Oct 2026 for consistency (link flap cases).</t>
      </text>
    </comment>
    <comment ref="C148" authorId="0" shapeId="0">
      <text>
        <t>Original title (BKC-26.12 plan): Flap active link — CP disrupted then recovers
Retitled 19 Oct 2026 for consistency (link flap cases).</t>
      </text>
    </comment>
    <comment ref="C154" authorId="0" shapeId="0">
      <text>
        <t>Original title (BKC-26.12 plan): Port shut on compute node — link down + recovery
Retitled 19 Oct 2026 for consistency (link flap cases).</t>
      </text>
    </comment>
    <comment ref="C168" authorId="0" shapeId="0">
      <text>
        <t>Original title (BKC-26.12 plan): Link failed event is generated after the configured threshold
Retitled 19 Oct 2026 for consistency (link flap cases).</t>
      </text>
    </comment>
    <comment ref="C178" authorId="0" shapeId="0">
      <text>
        <t>Original title (BKC-26.12 plan): Forwarding table update on compute node due to port flap
Retitled 19 Oct 2026 for consistency (link flap cases).</t>
      </text>
    </comment>
    <comment ref="C186" authorId="0" shapeId="0">
      <text>
        <t>Original title (BKC-26.12 plan): FO-013: Single Port Down on Multiple Stations — Partial Station Failures [P2]
Retitled 19 Oct 2026 for consistency (link flap cases).</t>
      </text>
    </comment>
    <comment ref="C188" authorId="0" shapeId="0">
      <text>
        <t>Original title (BKC-26.12 plan): FO-021: Port Recovers Just Before link fail threshold [P2]
Retitled 19 Oct 2026 for consistency (link flap cases).</t>
      </text>
    </comment>
    <comment ref="C192" authorId="0" shapeId="0">
      <text>
        <t>Original title (BKC-26.12 plan): FO-026: Port Down on Multiple Compute Trays Simultaneously [P1]
Retitled 19 Oct 2026 for consistency (link flap cases).</t>
      </text>
    </comment>
    <comment ref="C194" authorId="0" shapeId="0">
      <text>
        <t>Original title (BKC-26.12 plan): FO-037: Rapid Sequential Station Failures — All Stations on One GPU [P3]
Retitled 19 Oct 2026 for consistency (link flap cases).</t>
      </text>
    </comment>
    <comment ref="C198" authorId="0" shapeId="0">
      <text>
        <t>Original title (BKC-26.12 plan): Controller stability when management IP interface is flapped
Retitled 19 Oct 2026 for consistency (link flap cases).</t>
      </text>
    </comment>
    <comment ref="C208" authorId="0" shapeId="0">
      <text>
        <t>Original title (BKC-26.12 plan): Switch ports recover after connectivity flap between switchagent and controller
Retitled 19 Oct 2026 for consistency (link flap cases).</t>
      </text>
    </comment>
    <comment ref="C304" authorId="0" shapeId="0">
      <text>
        <t>Original title (BKC-26.12 plan): Try flapping of connection between topo service and event hub
Retitled 19 Oct 2026 for consistency (link flap cases).</t>
      </text>
    </comment>
    <comment ref="C337" authorId="0" shapeId="0">
      <text>
        <t>Original title (BKC-26.12 plan): Path-to-port link flap per station type (2-port, 1-port stations)
Retitled 19 Oct 2026 for consistency (link flap cases).</t>
      </text>
    </comment>
    <comment ref="C344" authorId="0" shapeId="0">
      <text>
        <t>Original title (BKC-26.12 plan): Link flap/down on unused ports does not create any event in AFM
Retitled 19 Oct 2026 for consistency (link flap cases).</t>
      </text>
    </comment>
    <comment ref="C345" authorId="0" shapeId="0">
      <text>
        <t>Original title (BKC-26.12 plan): Lane bitmask gets updated on link down among the 18 used links
Retitled 19 Oct 2026 for consistency (link flap cases).</t>
      </text>
    </comment>
    <comment ref="C379" authorId="0" shapeId="0">
      <text>
        <t>Original title (BKC-26.12 plan): Repeated Switch Flap -- No Role/Assignment Thrashing
Retitled 19 Oct 2026 for consistency (link flap cases).</t>
      </text>
    </comment>
    <comment ref="C416" authorId="0" shapeId="0">
      <text>
        <t>Original title (BKC-26.12 plan): Flap connectivity b/w node agent and afm controller (controller hosted on different and same…
Retitled 19 Oct 2026 for consistency (link flap cases).</t>
      </text>
    </comment>
    <comment ref="C452" authorId="0" shapeId="0">
      <text>
        <t>Original title (BKC-26.12 plan): Link event storm — rapid port flaps across 6 computes simultaneously
Retitled 19 Oct 2026 for consistency (link flap cases).</t>
      </text>
    </comment>
    <comment ref="C453" authorId="0" shapeId="0">
      <text>
        <t>Original title (BKC-26.12 plan): Config field churn — port flap only reprograms DF mask, not full config
Retitled 19 Oct 2026 for consistency (link flap cases).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2" topLeftCell="A23" activePane="bottomLeft" state="frozen"/>
      <selection pane="bottomLeft" activeCell="A1" sqref="A1:G1"/>
    </sheetView>
  </sheetViews>
  <sheetFormatPr baseColWidth="10" defaultColWidth="8.83203125" defaultRowHeight="15"/>
  <cols>
    <col width="18" customWidth="1" style="33" min="1" max="1"/>
    <col width="8" customWidth="1" style="33" min="2" max="2"/>
    <col width="10" customWidth="1" style="33" min="3" max="3"/>
    <col width="14" customWidth="1" style="33" min="4" max="5"/>
    <col width="38" customWidth="1" style="33" min="6" max="6"/>
    <col width="80" customWidth="1" style="33" min="7" max="7"/>
  </cols>
  <sheetData>
    <row r="1" ht="26" customHeight="1" s="33">
      <c r="A1" s="34" t="inlineStr">
        <is>
          <t>Bucket: afm</t>
        </is>
      </c>
    </row>
    <row r="2" ht="22.25" customHeight="1" s="33">
      <c r="A2" s="1" t="inlineStr">
        <is>
          <t>TC ID</t>
        </is>
      </c>
      <c r="B2" s="1" t="inlineStr">
        <is>
          <t>Level</t>
        </is>
      </c>
      <c r="C2" s="1" t="inlineStr">
        <is>
          <t>Status</t>
        </is>
      </c>
      <c r="D2" s="1" t="inlineStr">
        <is>
          <t>Category</t>
        </is>
      </c>
      <c r="E2" s="1" t="inlineStr">
        <is>
          <t>Bucket</t>
        </is>
      </c>
      <c r="F2" s="1" t="inlineStr">
        <is>
          <t>Suites</t>
        </is>
      </c>
      <c r="G2" s="1" t="inlineStr">
        <is>
          <t>Description</t>
        </is>
      </c>
    </row>
    <row r="3" ht="20" customHeight="1" s="33">
      <c r="A3" s="32" t="inlineStr">
        <is>
          <t>L1 Tests (30 tests)</t>
        </is>
      </c>
    </row>
    <row r="4" ht="34.25" customHeight="1" s="33">
      <c r="A4" s="3" t="inlineStr">
        <is>
          <t>TC-AFM-001</t>
        </is>
      </c>
      <c r="B4" s="3" t="inlineStr">
        <is>
          <t>L1</t>
        </is>
      </c>
      <c r="C4" s="3" t="inlineStr">
        <is>
          <t>ACTIVE</t>
        </is>
      </c>
      <c r="D4" s="3" t="inlineStr">
        <is>
          <t>scale-up</t>
        </is>
      </c>
      <c r="E4" s="3" t="inlineStr">
        <is>
          <t>afm</t>
        </is>
      </c>
      <c r="F4" s="3" t="inlineStr">
        <is>
          <t>afm-level1, afm-full, level1</t>
        </is>
      </c>
      <c r="G4" s="3" t="inlineStr">
        <is>
          <t>L2 ping within a single compute and across compute pairs. Both within-compute and cross-compute connectivity are verified in one test. Failures from both directions are reported before asserting.</t>
        </is>
      </c>
    </row>
    <row r="5" ht="34.25" customHeight="1" s="33">
      <c r="A5" s="2" t="inlineStr">
        <is>
          <t>TC-AFM-002</t>
        </is>
      </c>
      <c r="B5" s="2" t="inlineStr">
        <is>
          <t>L1</t>
        </is>
      </c>
      <c r="C5" s="2" t="inlineStr">
        <is>
          <t>ACTIVE</t>
        </is>
      </c>
      <c r="D5" s="2" t="inlineStr">
        <is>
          <t>scale-up</t>
        </is>
      </c>
      <c r="E5" s="2" t="inlineStr">
        <is>
          <t>afm</t>
        </is>
      </c>
      <c r="F5" s="2" t="inlineStr">
        <is>
          <t>afm-level1, afm-full, level1</t>
        </is>
      </c>
      <c r="G5" s="2" t="inlineStr">
        <is>
          <t>Per-compute TransferBench 2a 1G bandwidth test constrained to an explicit IFoE port subset. Validates bandwidth performance within compute node GPUs.</t>
        </is>
      </c>
    </row>
    <row r="6" ht="34.25" customHeight="1" s="33">
      <c r="A6" s="3" t="inlineStr">
        <is>
          <t>TC-AFM-003</t>
        </is>
      </c>
      <c r="B6" s="3" t="inlineStr">
        <is>
          <t>L1</t>
        </is>
      </c>
      <c r="C6" s="3" t="inlineStr">
        <is>
          <t>ACTIVE</t>
        </is>
      </c>
      <c r="D6" s="3" t="inlineStr">
        <is>
          <t>scale-up</t>
        </is>
      </c>
      <c r="E6" s="3" t="inlineStr">
        <is>
          <t>afm</t>
        </is>
      </c>
      <c r="F6" s="3" t="inlineStr">
        <is>
          <t>afm-level1, afm-full, level1</t>
        </is>
      </c>
      <c r="G6" s="3" t="inlineStr">
        <is>
          <t>Cross-compute TransferBench test validating bandwidth performance between GPUs on different compute nodes via IFoE scale-up fabric.</t>
        </is>
      </c>
    </row>
    <row r="7" ht="34.25" customHeight="1" s="33">
      <c r="A7" s="2" t="inlineStr">
        <is>
          <t>TC-AFM-004</t>
        </is>
      </c>
      <c r="B7" s="2" t="inlineStr">
        <is>
          <t>L1</t>
        </is>
      </c>
      <c r="C7" s="2" t="inlineStr">
        <is>
          <t>ACTIVE</t>
        </is>
      </c>
      <c r="D7" s="2" t="inlineStr">
        <is>
          <t>scale-up</t>
        </is>
      </c>
      <c r="E7" s="2" t="inlineStr">
        <is>
          <t>afm</t>
        </is>
      </c>
      <c r="F7" s="2" t="inlineStr">
        <is>
          <t>afm-level1, afm-full, level1</t>
        </is>
      </c>
      <c r="G7" s="2" t="inlineStr">
        <is>
          <t>In-domain RCCL collectives: on each compute tray (4 GPUs, one rank per GPU), run the five rccl-tests collectives at message sizes 1K to 1G. Each collective is its own sub-test:</t>
        </is>
      </c>
    </row>
    <row r="8" ht="34.25" customHeight="1" s="33">
      <c r="A8" s="3" t="inlineStr">
        <is>
          <t>TC-AFM-005</t>
        </is>
      </c>
      <c r="B8" s="3" t="inlineStr">
        <is>
          <t>L2</t>
        </is>
      </c>
      <c r="C8" s="3" t="inlineStr">
        <is>
          <t>ACTIVE</t>
        </is>
      </c>
      <c r="D8" s="3" t="inlineStr">
        <is>
          <t>scale-up</t>
        </is>
      </c>
      <c r="E8" s="3" t="inlineStr">
        <is>
          <t>afm</t>
        </is>
      </c>
      <c r="F8" s="3" t="inlineStr">
        <is>
          <t>afm-level2, afm-full, level2</t>
        </is>
      </c>
      <c r="G8" s="3" t="inlineStr">
        <is>
          <t>Verify the default failover policy and perform full CRUD on a custom policy.</t>
        </is>
      </c>
    </row>
    <row r="9" ht="34.25" customHeight="1" s="33">
      <c r="A9" s="2" t="inlineStr">
        <is>
          <t>aggwatch-admin-receives-all-events</t>
        </is>
      </c>
      <c r="B9" s="2" t="inlineStr">
        <is>
          <t>L1</t>
        </is>
      </c>
      <c r="C9" s="2" t="inlineStr">
        <is>
          <t>ACTIVE</t>
        </is>
      </c>
      <c r="D9" s="2" t="inlineStr">
        <is>
          <t>scale-up</t>
        </is>
      </c>
      <c r="E9" s="2" t="inlineStr">
        <is>
          <t>afm</t>
        </is>
      </c>
      <c r="F9" s="2" t="inlineStr">
        <is>
          <t>afm-level2, afm-full, level2</t>
        </is>
      </c>
      <c r="G9" s="2" t="inlineStr">
        <is>
          <t>Verify that an admin user connected to AggWatch receives events for all watched resource types without any RBAC filtering.</t>
        </is>
      </c>
    </row>
    <row r="10" ht="34.25" customHeight="1" s="33">
      <c r="A10" s="3" t="inlineStr">
        <is>
          <t>aggwatch-audit-event-on-connection</t>
        </is>
      </c>
      <c r="B10" s="3" t="inlineStr">
        <is>
          <t>L1</t>
        </is>
      </c>
      <c r="C10" s="3" t="inlineStr">
        <is>
          <t>ACTIVE</t>
        </is>
      </c>
      <c r="D10" s="3" t="inlineStr">
        <is>
          <t>scale-up</t>
        </is>
      </c>
      <c r="E10" s="3" t="inlineStr">
        <is>
          <t>afm</t>
        </is>
      </c>
      <c r="F10" s="3" t="inlineStr">
        <is>
          <t>afm-level2, afm-full, level2</t>
        </is>
      </c>
      <c r="G10" s="3" t="inlineStr">
        <is>
          <t>Verify that connecting to the AggWatch endpoint generates an audit event capturing the username, action, and timestamp.</t>
        </is>
      </c>
    </row>
    <row r="11" ht="34.25" customHeight="1" s="33">
      <c r="A11" s="2" t="inlineStr">
        <is>
          <t>aggwatch-audit-event-records-watched-kinds</t>
        </is>
      </c>
      <c r="B11" s="2" t="inlineStr">
        <is>
          <t>L1</t>
        </is>
      </c>
      <c r="C11" s="2" t="inlineStr">
        <is>
          <t>ACTIVE</t>
        </is>
      </c>
      <c r="D11" s="2" t="inlineStr">
        <is>
          <t>scale-up</t>
        </is>
      </c>
      <c r="E11" s="2" t="inlineStr">
        <is>
          <t>afm</t>
        </is>
      </c>
      <c r="F11" s="2" t="inlineStr">
        <is>
          <t>afm-level2, afm-full, level2</t>
        </is>
      </c>
      <c r="G11" s="2" t="inlineStr">
        <is>
          <t>Verify that the audit event generated for an AggWatch connection captures which resource kinds were watched.</t>
        </is>
      </c>
    </row>
    <row r="12" ht="34.25" customHeight="1" s="33">
      <c r="A12" s="3" t="inlineStr">
        <is>
          <t>aggwatch-behavior-during-leader-failover</t>
        </is>
      </c>
      <c r="B12" s="3" t="inlineStr">
        <is>
          <t>L1</t>
        </is>
      </c>
      <c r="C12" s="3" t="inlineStr">
        <is>
          <t>ACTIVE</t>
        </is>
      </c>
      <c r="D12" s="3" t="inlineStr">
        <is>
          <t>scale-up</t>
        </is>
      </c>
      <c r="E12" s="3" t="inlineStr">
        <is>
          <t>afm</t>
        </is>
      </c>
      <c r="F12" s="3" t="inlineStr">
        <is>
          <t>afm-level2, afm-full, level2</t>
        </is>
      </c>
      <c r="G12" s="3" t="inlineStr">
        <is>
          <t>Verify that AggWatch connections are gracefully handled during a leader controller failover, and that events resume after leader re-election.</t>
        </is>
      </c>
    </row>
    <row r="13" ht="34.25" customHeight="1" s="33">
      <c r="A13" s="2" t="inlineStr">
        <is>
          <t>aggwatch-client-initiated-disconnect</t>
        </is>
      </c>
      <c r="B13" s="2" t="inlineStr">
        <is>
          <t>L1</t>
        </is>
      </c>
      <c r="C13" s="2" t="inlineStr">
        <is>
          <t>ACTIVE</t>
        </is>
      </c>
      <c r="D13" s="2" t="inlineStr">
        <is>
          <t>scale-up</t>
        </is>
      </c>
      <c r="E13" s="2" t="inlineStr">
        <is>
          <t>afm</t>
        </is>
      </c>
      <c r="F13" s="2" t="inlineStr">
        <is>
          <t>afm-level2, afm-full, level2</t>
        </is>
      </c>
      <c r="G13" s="2" t="inlineStr">
        <is>
          <t>Verify that a client-initiated WebSocket close completes cleanly with no errors on either side and no leaked server resources.</t>
        </is>
      </c>
    </row>
    <row r="14" ht="34.25" customHeight="1" s="33">
      <c r="A14" s="3" t="inlineStr">
        <is>
          <t>aggwatch-connect-bearer-token</t>
        </is>
      </c>
      <c r="B14" s="3" t="inlineStr">
        <is>
          <t>L1</t>
        </is>
      </c>
      <c r="C14" s="3" t="inlineStr">
        <is>
          <t>ACTIVE</t>
        </is>
      </c>
      <c r="D14" s="3" t="inlineStr">
        <is>
          <t>scale-up</t>
        </is>
      </c>
      <c r="E14" s="3" t="inlineStr">
        <is>
          <t>afm</t>
        </is>
      </c>
      <c r="F14" s="3" t="inlineStr">
        <is>
          <t>afm-level2, afm-full, level2</t>
        </is>
      </c>
      <c r="G14" s="3" t="inlineStr">
        <is>
          <t>Verify that a WebSocket connection to the AggWatch endpoint succeeds when authenticated with a Bearer token in the Authorization header.</t>
        </is>
      </c>
    </row>
    <row r="15" ht="34.25" customHeight="1" s="33">
      <c r="A15" s="2" t="inlineStr">
        <is>
          <t>aggwatch-connect-valid-session-cookie</t>
        </is>
      </c>
      <c r="B15" s="2" t="inlineStr">
        <is>
          <t>L1</t>
        </is>
      </c>
      <c r="C15" s="2" t="inlineStr">
        <is>
          <t>ACTIVE</t>
        </is>
      </c>
      <c r="D15" s="2" t="inlineStr">
        <is>
          <t>scale-up</t>
        </is>
      </c>
      <c r="E15" s="2" t="inlineStr">
        <is>
          <t>afm</t>
        </is>
      </c>
      <c r="F15" s="2" t="inlineStr">
        <is>
          <t>afm-level2, afm-full, level2</t>
        </is>
      </c>
      <c r="G15" s="2" t="inlineStr">
        <is>
          <t>Verify that a WebSocket connection to the AggWatch endpoint succeeds when authenticated with a valid sid session cookie, and that initial state events are delivered for the watched resource kind.</t>
        </is>
      </c>
    </row>
    <row r="16" ht="34.25" customHeight="1" s="33">
      <c r="A16" s="3" t="inlineStr">
        <is>
          <t>aggwatch-created-event-on-object-creation</t>
        </is>
      </c>
      <c r="B16" s="3" t="inlineStr">
        <is>
          <t>L1</t>
        </is>
      </c>
      <c r="C16" s="3" t="inlineStr">
        <is>
          <t>ACTIVE</t>
        </is>
      </c>
      <c r="D16" s="3" t="inlineStr">
        <is>
          <t>scale-up</t>
        </is>
      </c>
      <c r="E16" s="3" t="inlineStr">
        <is>
          <t>afm</t>
        </is>
      </c>
      <c r="F16" s="3" t="inlineStr">
        <is>
          <t>afm-level2, afm-full, level2</t>
        </is>
      </c>
      <c r="G16" s="3" t="inlineStr">
        <is>
          <t>Verify that creating an object via the REST API produces a Created event on an active AggWatch connection watching that resource kind.</t>
        </is>
      </c>
    </row>
    <row r="17" ht="34.25" customHeight="1" s="33">
      <c r="A17" s="2" t="inlineStr">
        <is>
          <t>aggwatch-deleted-event-on-object-deletion</t>
        </is>
      </c>
      <c r="B17" s="2" t="inlineStr">
        <is>
          <t>L1</t>
        </is>
      </c>
      <c r="C17" s="2" t="inlineStr">
        <is>
          <t>ACTIVE</t>
        </is>
      </c>
      <c r="D17" s="2" t="inlineStr">
        <is>
          <t>scale-up</t>
        </is>
      </c>
      <c r="E17" s="2" t="inlineStr">
        <is>
          <t>afm</t>
        </is>
      </c>
      <c r="F17" s="2" t="inlineStr">
        <is>
          <t>afm-level2, afm-full, level2</t>
        </is>
      </c>
      <c r="G17" s="2" t="inlineStr">
        <is>
          <t>Verify that deleting an object via the REST API produces a Deleted event on an active AggWatch connection watching that resource kind.</t>
        </is>
      </c>
    </row>
    <row r="18" ht="34.25" customHeight="1" s="33">
      <c r="A18" s="3" t="inlineStr">
        <is>
          <t>aggwatch-empty-watch-options</t>
        </is>
      </c>
      <c r="B18" s="3" t="inlineStr">
        <is>
          <t>L1</t>
        </is>
      </c>
      <c r="C18" s="3" t="inlineStr">
        <is>
          <t>ACTIVE</t>
        </is>
      </c>
      <c r="D18" s="3" t="inlineStr">
        <is>
          <t>scale-up</t>
        </is>
      </c>
      <c r="E18" s="3" t="inlineStr">
        <is>
          <t>afm</t>
        </is>
      </c>
      <c r="F18" s="3" t="inlineStr">
        <is>
          <t>afm-level2, afm-full, level2</t>
        </is>
      </c>
      <c r="G18" s="3" t="inlineStr">
        <is>
          <t>Verify that sending empty watch options results in the server responding with an error or closing the connection gracefully.</t>
        </is>
      </c>
    </row>
    <row r="19" ht="34.25" customHeight="1" s="33">
      <c r="A19" s="2" t="inlineStr">
        <is>
          <t>aggwatch-idle-connection-stays-alive</t>
        </is>
      </c>
      <c r="B19" s="2" t="inlineStr">
        <is>
          <t>L1</t>
        </is>
      </c>
      <c r="C19" s="2" t="inlineStr">
        <is>
          <t>ACTIVE</t>
        </is>
      </c>
      <c r="D19" s="2" t="inlineStr">
        <is>
          <t>scale-up</t>
        </is>
      </c>
      <c r="E19" s="2" t="inlineStr">
        <is>
          <t>afm</t>
        </is>
      </c>
      <c r="F19" s="2" t="inlineStr">
        <is>
          <t>afm-level2, afm-full, level2</t>
        </is>
      </c>
      <c r="G19" s="2" t="inlineStr">
        <is>
          <t>Verify that an AggWatch connection remains alive after an extended idle period and continues to deliver events when activity resumes.</t>
        </is>
      </c>
    </row>
    <row r="20" ht="34.25" customHeight="1" s="33">
      <c r="A20" s="3" t="inlineStr">
        <is>
          <t>aggwatch-multi-kind-crud-event-stream</t>
        </is>
      </c>
      <c r="B20" s="3" t="inlineStr">
        <is>
          <t>L1</t>
        </is>
      </c>
      <c r="C20" s="3" t="inlineStr">
        <is>
          <t>ACTIVE</t>
        </is>
      </c>
      <c r="D20" s="3" t="inlineStr">
        <is>
          <t>scale-up</t>
        </is>
      </c>
      <c r="E20" s="3" t="inlineStr">
        <is>
          <t>afm</t>
        </is>
      </c>
      <c r="F20" s="3" t="inlineStr">
        <is>
          <t>afm-level2, afm-full, level2</t>
        </is>
      </c>
      <c r="G20" s="3" t="inlineStr">
        <is>
          <t>Verify that CRUD operations on one watched kind produce events only for that kind, and that events from multiple kinds are correctly interleaved on a single connection.</t>
        </is>
      </c>
    </row>
    <row r="21" ht="34.25" customHeight="1" s="33">
      <c r="A21" s="2" t="inlineStr">
        <is>
          <t>aggwatch-multiple-concurrent-connections</t>
        </is>
      </c>
      <c r="B21" s="2" t="inlineStr">
        <is>
          <t>L1</t>
        </is>
      </c>
      <c r="C21" s="2" t="inlineStr">
        <is>
          <t>ACTIVE</t>
        </is>
      </c>
      <c r="D21" s="2" t="inlineStr">
        <is>
          <t>scale-up</t>
        </is>
      </c>
      <c r="E21" s="2" t="inlineStr">
        <is>
          <t>afm</t>
        </is>
      </c>
      <c r="F21" s="2" t="inlineStr">
        <is>
          <t>afm-level2, afm-full, level2</t>
        </is>
      </c>
      <c r="G21" s="2" t="inlineStr">
        <is>
          <t>Verify that multiple concurrent AggWatch connections can independently receive events for the same resource kind.</t>
        </is>
      </c>
    </row>
    <row r="22" ht="34.25" customHeight="1" s="33">
      <c r="A22" s="3" t="inlineStr">
        <is>
          <t>aggwatch-per-object-rbac-filtering</t>
        </is>
      </c>
      <c r="B22" s="3" t="inlineStr">
        <is>
          <t>L1</t>
        </is>
      </c>
      <c r="C22" s="3" t="inlineStr">
        <is>
          <t>ACTIVE</t>
        </is>
      </c>
      <c r="D22" s="3" t="inlineStr">
        <is>
          <t>scale-up</t>
        </is>
      </c>
      <c r="E22" s="3" t="inlineStr">
        <is>
          <t>afm</t>
        </is>
      </c>
      <c r="F22" s="3" t="inlineStr">
        <is>
          <t>afm-level2, afm-full, level2</t>
        </is>
      </c>
      <c r="G22" s="3" t="inlineStr">
        <is>
          <t>Verify that AggWatch filters events at the individual object level, not just at the kind level. A user with resource-names scoped to specific objects should receive events only for those objects and not for other objects of the same kind.</t>
        </is>
      </c>
    </row>
    <row r="23" ht="34.25" customHeight="1" s="33">
      <c r="A23" s="2" t="inlineStr">
        <is>
          <t>aggwatch-reconnect-after-disconnect</t>
        </is>
      </c>
      <c r="B23" s="2" t="inlineStr">
        <is>
          <t>L1</t>
        </is>
      </c>
      <c r="C23" s="2" t="inlineStr">
        <is>
          <t>ACTIVE</t>
        </is>
      </c>
      <c r="D23" s="2" t="inlineStr">
        <is>
          <t>scale-up</t>
        </is>
      </c>
      <c r="E23" s="2" t="inlineStr">
        <is>
          <t>afm</t>
        </is>
      </c>
      <c r="F23" s="2" t="inlineStr">
        <is>
          <t>afm-level2, afm-full, level2</t>
        </is>
      </c>
      <c r="G23" s="2" t="inlineStr">
        <is>
          <t>Verify that after disconnecting and reconnecting, a new AggWatch connection delivers fresh initial state events and subsequent CRUD events correctly.</t>
        </is>
      </c>
    </row>
    <row r="24" ht="34.25" customHeight="1" s="33">
      <c r="A24" s="3" t="inlineStr">
        <is>
          <t>aggwatch-reject-expired-session</t>
        </is>
      </c>
      <c r="B24" s="3" t="inlineStr">
        <is>
          <t>L1</t>
        </is>
      </c>
      <c r="C24" s="3" t="inlineStr">
        <is>
          <t>ACTIVE</t>
        </is>
      </c>
      <c r="D24" s="3" t="inlineStr">
        <is>
          <t>scale-up</t>
        </is>
      </c>
      <c r="E24" s="3" t="inlineStr">
        <is>
          <t>afm</t>
        </is>
      </c>
      <c r="F24" s="3" t="inlineStr">
        <is>
          <t>afm-level2, afm-full, level2</t>
        </is>
      </c>
      <c r="G24" s="3" t="inlineStr">
        <is>
          <t>Verify that a WebSocket connection with an expired or invalidated session cookie is rejected.</t>
        </is>
      </c>
    </row>
    <row r="25" ht="34.25" customHeight="1" s="33">
      <c r="A25" s="2" t="inlineStr">
        <is>
          <t>aggwatch-reject-unauthenticated</t>
        </is>
      </c>
      <c r="B25" s="2" t="inlineStr">
        <is>
          <t>L1</t>
        </is>
      </c>
      <c r="C25" s="2" t="inlineStr">
        <is>
          <t>ACTIVE</t>
        </is>
      </c>
      <c r="D25" s="2" t="inlineStr">
        <is>
          <t>scale-up</t>
        </is>
      </c>
      <c r="E25" s="2" t="inlineStr">
        <is>
          <t>afm</t>
        </is>
      </c>
      <c r="F25" s="2" t="inlineStr">
        <is>
          <t>afm-level2, afm-full, level2</t>
        </is>
      </c>
      <c r="G25" s="2" t="inlineStr">
        <is>
          <t>Verify that an unauthenticated WebSocket connection to the AggWatch endpoint is rejected.</t>
        </is>
      </c>
    </row>
    <row r="26" ht="34.25" customHeight="1" s="33">
      <c r="A26" s="3" t="inlineStr">
        <is>
          <t>aggwatch-restricted-user-blocked-unpermitted-kinds</t>
        </is>
      </c>
      <c r="B26" s="3" t="inlineStr">
        <is>
          <t>L1</t>
        </is>
      </c>
      <c r="C26" s="3" t="inlineStr">
        <is>
          <t>ACTIVE</t>
        </is>
      </c>
      <c r="D26" s="3" t="inlineStr">
        <is>
          <t>scale-up</t>
        </is>
      </c>
      <c r="E26" s="3" t="inlineStr">
        <is>
          <t>afm</t>
        </is>
      </c>
      <c r="F26" s="3" t="inlineStr">
        <is>
          <t>afm-level2, afm-full, level2</t>
        </is>
      </c>
      <c r="G26" s="3" t="inlineStr">
        <is>
          <t>Verify that a restricted user watching a resource kind outside their permitted resource group receives no events for that kind.</t>
        </is>
      </c>
    </row>
    <row r="27" ht="34.25" customHeight="1" s="33">
      <c r="A27" s="2" t="inlineStr">
        <is>
          <t>aggwatch-restricted-user-permitted-events-only</t>
        </is>
      </c>
      <c r="B27" s="2" t="inlineStr">
        <is>
          <t>L1</t>
        </is>
      </c>
      <c r="C27" s="2" t="inlineStr">
        <is>
          <t>ACTIVE</t>
        </is>
      </c>
      <c r="D27" s="2" t="inlineStr">
        <is>
          <t>scale-up</t>
        </is>
      </c>
      <c r="E27" s="2" t="inlineStr">
        <is>
          <t>afm</t>
        </is>
      </c>
      <c r="F27" s="2" t="inlineStr">
        <is>
          <t>afm-level2, afm-full, level2</t>
        </is>
      </c>
      <c r="G27" s="2" t="inlineStr">
        <is>
          <t>Verify that a restricted user connected to AggWatch receives events only for resource kinds permitted by their role, and that events for unpermitted kinds are filtered out.</t>
        </is>
      </c>
    </row>
    <row r="28" ht="34.25" customHeight="1" s="33">
      <c r="A28" s="3" t="inlineStr">
        <is>
          <t>aggwatch-survives-non-leader-restart</t>
        </is>
      </c>
      <c r="B28" s="3" t="inlineStr">
        <is>
          <t>L1</t>
        </is>
      </c>
      <c r="C28" s="3" t="inlineStr">
        <is>
          <t>ACTIVE</t>
        </is>
      </c>
      <c r="D28" s="3" t="inlineStr">
        <is>
          <t>scale-up</t>
        </is>
      </c>
      <c r="E28" s="3" t="inlineStr">
        <is>
          <t>afm</t>
        </is>
      </c>
      <c r="F28" s="3" t="inlineStr">
        <is>
          <t>afm-level2, afm-full, level2</t>
        </is>
      </c>
      <c r="G28" s="3" t="inlineStr">
        <is>
          <t>Verify that an active AggWatch connection survives the restart of a non-leader controller and continues to receive events.</t>
        </is>
      </c>
    </row>
    <row r="29" ht="34.25" customHeight="1" s="33">
      <c r="A29" s="2" t="inlineStr">
        <is>
          <t>aggwatch-updated-event-on-object-modification</t>
        </is>
      </c>
      <c r="B29" s="2" t="inlineStr">
        <is>
          <t>L1</t>
        </is>
      </c>
      <c r="C29" s="2" t="inlineStr">
        <is>
          <t>ACTIVE</t>
        </is>
      </c>
      <c r="D29" s="2" t="inlineStr">
        <is>
          <t>scale-up</t>
        </is>
      </c>
      <c r="E29" s="2" t="inlineStr">
        <is>
          <t>afm</t>
        </is>
      </c>
      <c r="F29" s="2" t="inlineStr">
        <is>
          <t>afm-level2, afm-full, level2</t>
        </is>
      </c>
      <c r="G29" s="2" t="inlineStr">
        <is>
          <t>Verify that modifying an object via the REST API produces an Updated event on an active AggWatch connection watching that resource kind.</t>
        </is>
      </c>
    </row>
    <row r="30" ht="34.25" customHeight="1" s="33">
      <c r="A30" s="3" t="inlineStr">
        <is>
          <t>aggwatch-watch-invalid-kind</t>
        </is>
      </c>
      <c r="B30" s="3" t="inlineStr">
        <is>
          <t>L1</t>
        </is>
      </c>
      <c r="C30" s="3" t="inlineStr">
        <is>
          <t>ACTIVE</t>
        </is>
      </c>
      <c r="D30" s="3" t="inlineStr">
        <is>
          <t>scale-up</t>
        </is>
      </c>
      <c r="E30" s="3" t="inlineStr">
        <is>
          <t>afm</t>
        </is>
      </c>
      <c r="F30" s="3" t="inlineStr">
        <is>
          <t>afm-level2, afm-full, level2</t>
        </is>
      </c>
      <c r="G30" s="3" t="inlineStr">
        <is>
          <t>Verify that watching a non-existent resource kind returns a proper error event from the server.</t>
        </is>
      </c>
    </row>
    <row r="31" ht="34.25" customHeight="1" s="33">
      <c r="A31" s="2" t="inlineStr">
        <is>
          <t>aggwatch-watch-multiple-kinds</t>
        </is>
      </c>
      <c r="B31" s="2" t="inlineStr">
        <is>
          <t>L1</t>
        </is>
      </c>
      <c r="C31" s="2" t="inlineStr">
        <is>
          <t>ACTIVE</t>
        </is>
      </c>
      <c r="D31" s="2" t="inlineStr">
        <is>
          <t>scale-up</t>
        </is>
      </c>
      <c r="E31" s="2" t="inlineStr">
        <is>
          <t>afm</t>
        </is>
      </c>
      <c r="F31" s="2" t="inlineStr">
        <is>
          <t>afm-level2, afm-full, level2</t>
        </is>
      </c>
      <c r="G31" s="2" t="inlineStr">
        <is>
          <t>Verify that a single AggWatch connection can multiplex events from multiple resource kinds simultaneously, and that each event includes the correct kind field to distinguish resource types.</t>
        </is>
      </c>
    </row>
    <row r="32" ht="34.25" customHeight="1" s="33">
      <c r="A32" s="3" t="inlineStr">
        <is>
          <t>aggwatch-watch-resource-version-filter</t>
        </is>
      </c>
      <c r="B32" s="3" t="inlineStr">
        <is>
          <t>L1</t>
        </is>
      </c>
      <c r="C32" s="3" t="inlineStr">
        <is>
          <t>ACTIVE</t>
        </is>
      </c>
      <c r="D32" s="3" t="inlineStr">
        <is>
          <t>scale-up</t>
        </is>
      </c>
      <c r="E32" s="3" t="inlineStr">
        <is>
          <t>afm</t>
        </is>
      </c>
      <c r="F32" s="3" t="inlineStr">
        <is>
          <t>afm-level2, afm-full, level2</t>
        </is>
      </c>
      <c r="G32" s="3" t="inlineStr">
        <is>
          <t>Verify that the resource-version filter in watch options controls the starting point for initial state events.</t>
        </is>
      </c>
    </row>
    <row r="33" ht="34.25" customHeight="1" s="33">
      <c r="A33" s="2" t="inlineStr">
        <is>
          <t>aggwatch-watch-single-kind</t>
        </is>
      </c>
      <c r="B33" s="2" t="inlineStr">
        <is>
          <t>L1</t>
        </is>
      </c>
      <c r="C33" s="2" t="inlineStr">
        <is>
          <t>ACTIVE</t>
        </is>
      </c>
      <c r="D33" s="2" t="inlineStr">
        <is>
          <t>scale-up</t>
        </is>
      </c>
      <c r="E33" s="2" t="inlineStr">
        <is>
          <t>afm</t>
        </is>
      </c>
      <c r="F33" s="2" t="inlineStr">
        <is>
          <t>afm-level2, afm-full, level2</t>
        </is>
      </c>
      <c r="G33" s="2" t="inlineStr">
        <is>
          <t>Verify that watching a single resource kind produces initial Created events for all existing objects of that kind, followed by a Control event signaling end of initial sync.</t>
        </is>
      </c>
    </row>
    <row r="34" ht="20" customHeight="1" s="33">
      <c r="A34" s="32" t="inlineStr">
        <is>
          <t>L2 Tests (72 tests)</t>
        </is>
      </c>
    </row>
    <row r="35" ht="34.25" customHeight="1" s="33">
      <c r="A35" s="2" t="inlineStr">
        <is>
          <t>TC-AFM-005</t>
        </is>
      </c>
      <c r="B35" s="2" t="inlineStr">
        <is>
          <t>L2</t>
        </is>
      </c>
      <c r="C35" s="2" t="inlineStr">
        <is>
          <t>ACTIVE</t>
        </is>
      </c>
      <c r="D35" s="2" t="inlineStr">
        <is>
          <t>scale-up</t>
        </is>
      </c>
      <c r="E35" s="2" t="inlineStr">
        <is>
          <t>afm</t>
        </is>
      </c>
      <c r="F35" s="2" t="inlineStr">
        <is>
          <t>afm-level2, afm-full, level2</t>
        </is>
      </c>
      <c r="G35" s="2" t="inlineStr">
        <is>
          <t>Verify the default failover policy and perform full CRUD on a custom policy.</t>
        </is>
      </c>
    </row>
    <row r="36" ht="34.25" customHeight="1" s="33">
      <c r="A36" s="3" t="inlineStr">
        <is>
          <t>TC-AFM-006</t>
        </is>
      </c>
      <c r="B36" s="3" t="inlineStr">
        <is>
          <t>L2</t>
        </is>
      </c>
      <c r="C36" s="3" t="inlineStr">
        <is>
          <t>ACTIVE</t>
        </is>
      </c>
      <c r="D36" s="3" t="inlineStr">
        <is>
          <t>scale-up</t>
        </is>
      </c>
      <c r="E36" s="3" t="inlineStr">
        <is>
          <t>afm</t>
        </is>
      </c>
      <c r="F36" s="3" t="inlineStr">
        <is>
          <t>afm-level2, afm-full, level2</t>
        </is>
      </c>
      <c r="G36" s="3" t="inlineStr">
        <is>
          <t>Restart the compute node agent on all computes and verify re-admission.</t>
        </is>
      </c>
    </row>
    <row r="37" ht="34.25" customHeight="1" s="33">
      <c r="A37" s="2" t="inlineStr">
        <is>
          <t>TC-AFM-007</t>
        </is>
      </c>
      <c r="B37" s="2" t="inlineStr">
        <is>
          <t>L2</t>
        </is>
      </c>
      <c r="C37" s="2" t="inlineStr">
        <is>
          <t>ACTIVE</t>
        </is>
      </c>
      <c r="D37" s="2" t="inlineStr">
        <is>
          <t>scale-up</t>
        </is>
      </c>
      <c r="E37" s="2" t="inlineStr">
        <is>
          <t>afm</t>
        </is>
      </c>
      <c r="F37" s="2" t="inlineStr">
        <is>
          <t>afm-level2, afm-full, level2</t>
        </is>
      </c>
      <c r="G37" s="2" t="inlineStr">
        <is>
          <t>Stop the agent on compute1, verify health goes Unknown, restart and verify recovery. Check admission and health events in AFM.</t>
        </is>
      </c>
    </row>
    <row r="38" ht="34.25" customHeight="1" s="33">
      <c r="A38" s="3" t="inlineStr">
        <is>
          <t>TC-AFM-008</t>
        </is>
      </c>
      <c r="B38" s="3" t="inlineStr">
        <is>
          <t>L2</t>
        </is>
      </c>
      <c r="C38" s="3" t="inlineStr">
        <is>
          <t>ACTIVE</t>
        </is>
      </c>
      <c r="D38" s="3" t="inlineStr">
        <is>
          <t>scale-up</t>
        </is>
      </c>
      <c r="E38" s="3" t="inlineStr">
        <is>
          <t>afm</t>
        </is>
      </c>
      <c r="F38" s="3" t="inlineStr">
        <is>
          <t>afm-level2, afm-full, level2</t>
        </is>
      </c>
      <c r="G38" s="3" t="inlineStr">
        <is>
          <t>Block/unblock mgmt traffic between compute1 and AFM, verify health transitions.</t>
        </is>
      </c>
    </row>
    <row r="39" ht="34.25" customHeight="1" s="33">
      <c r="A39" s="2" t="inlineStr">
        <is>
          <t>TC-AFM-009</t>
        </is>
      </c>
      <c r="B39" s="2" t="inlineStr">
        <is>
          <t>L2</t>
        </is>
      </c>
      <c r="C39" s="2" t="inlineStr">
        <is>
          <t>ACTIVE</t>
        </is>
      </c>
      <c r="D39" s="2" t="inlineStr">
        <is>
          <t>scale-up</t>
        </is>
      </c>
      <c r="E39" s="2" t="inlineStr">
        <is>
          <t>afm</t>
        </is>
      </c>
      <c r="F39" s="2" t="inlineStr">
        <is>
          <t>afm-level2, afm-full, level2</t>
        </is>
      </c>
      <c r="G39" s="2" t="inlineStr">
        <is>
          <t>Toggle one IFoE port on compute1, verify link_down/link_up events in AFM.</t>
        </is>
      </c>
    </row>
    <row r="40" ht="34.25" customHeight="1" s="33">
      <c r="A40" s="3" t="inlineStr">
        <is>
          <t>TC-AFM-010</t>
        </is>
      </c>
      <c r="B40" s="3" t="inlineStr">
        <is>
          <t>L2</t>
        </is>
      </c>
      <c r="C40" s="3" t="inlineStr">
        <is>
          <t>ACTIVE</t>
        </is>
      </c>
      <c r="D40" s="3" t="inlineStr">
        <is>
          <t>scale-up</t>
        </is>
      </c>
      <c r="E40" s="3" t="inlineStr">
        <is>
          <t>afm</t>
        </is>
      </c>
      <c r="F40" s="3" t="inlineStr">
        <is>
          <t>afm-level2, afm-full, level2</t>
        </is>
      </c>
      <c r="G40" s="3" t="inlineStr">
        <is>
          <t>Create / update / delete a vPOD and verify the system vPOD recovers. Also verify vPOD state is stable after a management link flap on non-controller switches (exercise the same recovery path).</t>
        </is>
      </c>
    </row>
    <row r="41" ht="34.25" customHeight="1" s="33">
      <c r="A41" s="2" t="inlineStr">
        <is>
          <t>TC-AFM-011</t>
        </is>
      </c>
      <c r="B41" s="2" t="inlineStr">
        <is>
          <t>L2</t>
        </is>
      </c>
      <c r="C41" s="2" t="inlineStr">
        <is>
          <t>ACTIVE</t>
        </is>
      </c>
      <c r="D41" s="2" t="inlineStr">
        <is>
          <t>scale-up</t>
        </is>
      </c>
      <c r="E41" s="2" t="inlineStr">
        <is>
          <t>afm</t>
        </is>
      </c>
      <c r="F41" s="2" t="inlineStr">
        <is>
          <t>afm-level2, afm-full, level2</t>
        </is>
      </c>
      <c r="G41" s="2" t="inlineStr">
        <is>
          <t>Flap one switch interface on a single ASIC and verify vPOD recovers.</t>
        </is>
      </c>
    </row>
    <row r="42" ht="34.25" customHeight="1" s="33">
      <c r="A42" s="3" t="inlineStr">
        <is>
          <t>TC-AFM-012</t>
        </is>
      </c>
      <c r="B42" s="3" t="inlineStr">
        <is>
          <t>L2</t>
        </is>
      </c>
      <c r="C42" s="3" t="inlineStr">
        <is>
          <t>ACTIVE</t>
        </is>
      </c>
      <c r="D42" s="3" t="inlineStr">
        <is>
          <t>scale-up</t>
        </is>
      </c>
      <c r="E42" s="3" t="inlineStr">
        <is>
          <t>afm</t>
        </is>
      </c>
      <c r="F42" s="3" t="inlineStr">
        <is>
          <t>afm-level2, afm-full, level2</t>
        </is>
      </c>
      <c r="G42" s="3" t="inlineStr">
        <is>
          <t>Hold one switch interface down, verify vPOD degraded/configfailed, restore.</t>
        </is>
      </c>
    </row>
    <row r="43" ht="34.25" customHeight="1" s="33">
      <c r="A43" s="2" t="inlineStr">
        <is>
          <t>TC-AFM-013</t>
        </is>
      </c>
      <c r="B43" s="2" t="inlineStr">
        <is>
          <t>L2</t>
        </is>
      </c>
      <c r="C43" s="2" t="inlineStr">
        <is>
          <t>ACTIVE</t>
        </is>
      </c>
      <c r="D43" s="2" t="inlineStr">
        <is>
          <t>scale-up</t>
        </is>
      </c>
      <c r="E43" s="2" t="inlineStr">
        <is>
          <t>afm</t>
        </is>
      </c>
      <c r="F43" s="2" t="inlineStr">
        <is>
          <t>afm-level2, afm-full, level2</t>
        </is>
      </c>
      <c r="G43" s="2" t="inlineStr">
        <is>
          <t>Flap interfaces on both ASICs in parallel, verify vPOD degraded then recovers.</t>
        </is>
      </c>
    </row>
    <row r="44" ht="34.25" customHeight="1" s="33">
      <c r="A44" s="3" t="inlineStr">
        <is>
          <t>TC-AFM-014</t>
        </is>
      </c>
      <c r="B44" s="3" t="inlineStr">
        <is>
          <t>L2</t>
        </is>
      </c>
      <c r="C44" s="3" t="inlineStr">
        <is>
          <t>ACTIVE</t>
        </is>
      </c>
      <c r="D44" s="3" t="inlineStr">
        <is>
          <t>scale-up</t>
        </is>
      </c>
      <c r="E44" s="3" t="inlineStr">
        <is>
          <t>afm</t>
        </is>
      </c>
      <c r="F44" s="3" t="inlineStr">
        <is>
          <t>afm-level2, afm-full, level2</t>
        </is>
      </c>
      <c r="G44" s="3" t="inlineStr">
        <is>
          <t>Hold both ASIC interfaces down, verify configurationFailed, restore.</t>
        </is>
      </c>
    </row>
    <row r="45" ht="34.25" customHeight="1" s="33">
      <c r="A45" s="2" t="inlineStr">
        <is>
          <t>TC-AFM-015</t>
        </is>
      </c>
      <c r="B45" s="2" t="inlineStr">
        <is>
          <t>L2</t>
        </is>
      </c>
      <c r="C45" s="2" t="inlineStr">
        <is>
          <t>ACTIVE</t>
        </is>
      </c>
      <c r="D45" s="2" t="inlineStr">
        <is>
          <t>scale-up</t>
        </is>
      </c>
      <c r="E45" s="2" t="inlineStr">
        <is>
          <t>afm</t>
        </is>
      </c>
      <c r="F45" s="2" t="inlineStr">
        <is>
          <t>afm-level2, afm-full, level2</t>
        </is>
      </c>
      <c r="G45" s="2" t="inlineStr">
        <is>
          <t>Bring down a switch interface, verify vPOD transitions to degraded (automatic failover), then bring the interface back up and verify vPOD returns to online.</t>
        </is>
      </c>
    </row>
    <row r="46" ht="34.25" customHeight="1" s="33">
      <c r="A46" s="3" t="inlineStr">
        <is>
          <t>TC-AFM-016</t>
        </is>
      </c>
      <c r="B46" s="3" t="inlineStr">
        <is>
          <t>L2</t>
        </is>
      </c>
      <c r="C46" s="3" t="inlineStr">
        <is>
          <t>ACTIVE</t>
        </is>
      </c>
      <c r="D46" s="3" t="inlineStr">
        <is>
          <t>scale-up</t>
        </is>
      </c>
      <c r="E46" s="3" t="inlineStr">
        <is>
          <t>afm</t>
        </is>
      </c>
      <c r="F46" s="3" t="inlineStr">
        <is>
          <t>afm-level2, afm-full, level2</t>
        </is>
      </c>
      <c r="G46" s="3" t="inlineStr">
        <is>
          <t>Set vPOD failover policy to manual. Bring down a switch interface, verify vPOD enters needDataFabricReconfiguration, manually reconfigure to degraded, bring interface back up, manually reconfigure again to online.</t>
        </is>
      </c>
    </row>
    <row r="47" ht="34.25" customHeight="1" s="33">
      <c r="A47" s="2" t="inlineStr">
        <is>
          <t>TC-AFM-017</t>
        </is>
      </c>
      <c r="B47" s="2" t="inlineStr">
        <is>
          <t>L2</t>
        </is>
      </c>
      <c r="C47" s="2" t="inlineStr">
        <is>
          <t>ACTIVE</t>
        </is>
      </c>
      <c r="D47" s="2" t="inlineStr">
        <is>
          <t>scale-up</t>
        </is>
      </c>
      <c r="E47" s="2" t="inlineStr">
        <is>
          <t>afm</t>
        </is>
      </c>
      <c r="F47" s="2" t="inlineStr">
        <is>
          <t>afm-level2, afm-full, level2</t>
        </is>
      </c>
      <c r="G47" s="2" t="inlineStr">
        <is>
          <t>Verify switch reconciles link state after controller restart.</t>
        </is>
      </c>
    </row>
    <row r="48" ht="34.25" customHeight="1" s="33">
      <c r="A48" s="3" t="inlineStr">
        <is>
          <t>TC-AFM-018</t>
        </is>
      </c>
      <c r="B48" s="3" t="inlineStr">
        <is>
          <t>L2</t>
        </is>
      </c>
      <c r="C48" s="3" t="inlineStr">
        <is>
          <t>ACTIVE</t>
        </is>
      </c>
      <c r="D48" s="3" t="inlineStr">
        <is>
          <t>scale-up</t>
        </is>
      </c>
      <c r="E48" s="3" t="inlineStr">
        <is>
          <t>afm</t>
        </is>
      </c>
      <c r="F48" s="3" t="inlineStr">
        <is>
          <t>afm-level2, afm-full, level2</t>
        </is>
      </c>
      <c r="G48" s="3" t="inlineStr">
        <is>
          <t>Restart the AFM switch agent on all switch nodes and verify switches return to admitted/healthy state in AFM.</t>
        </is>
      </c>
    </row>
    <row r="49" ht="34.25" customHeight="1" s="33">
      <c r="A49" s="2" t="inlineStr">
        <is>
          <t>TC-AFM-019</t>
        </is>
      </c>
      <c r="B49" s="2" t="inlineStr">
        <is>
          <t>L2</t>
        </is>
      </c>
      <c r="C49" s="2" t="inlineStr">
        <is>
          <t>ACTIVE</t>
        </is>
      </c>
      <c r="D49" s="2" t="inlineStr">
        <is>
          <t>scale-up</t>
        </is>
      </c>
      <c r="E49" s="2" t="inlineStr">
        <is>
          <t>afm</t>
        </is>
      </c>
      <c r="F49" s="2" t="inlineStr">
        <is>
          <t>afm-level2, afm-full, level2</t>
        </is>
      </c>
      <c r="G49" s="2" t="inlineStr">
        <is>
          <t>Stop the AFM switch agent on all switch nodes, verify switches go unhealthy in AFM, then start the agent and verify recovery to healthy.</t>
        </is>
      </c>
    </row>
    <row r="50" ht="34.25" customHeight="1" s="33">
      <c r="A50" s="3" t="inlineStr">
        <is>
          <t>TC-AFM-020</t>
        </is>
      </c>
      <c r="B50" s="3" t="inlineStr">
        <is>
          <t>L2</t>
        </is>
      </c>
      <c r="C50" s="3" t="inlineStr">
        <is>
          <t>ACTIVE</t>
        </is>
      </c>
      <c r="D50" s="3" t="inlineStr">
        <is>
          <t>scale-up</t>
        </is>
      </c>
      <c r="E50" s="3" t="inlineStr">
        <is>
          <t>afm</t>
        </is>
      </c>
      <c r="F50" s="3" t="inlineStr">
        <is>
          <t>afm-level2, afm-full, level2</t>
        </is>
      </c>
      <c r="G50" s="3" t="inlineStr">
        <is>
          <t>Restart the AFM switch agent Docker container on all switch nodes and verify switches return to admitted/healthy state in AFM.</t>
        </is>
      </c>
    </row>
    <row r="51" ht="34.25" customHeight="1" s="33">
      <c r="A51" s="2" t="inlineStr">
        <is>
          <t>TC-AFM-021</t>
        </is>
      </c>
      <c r="B51" s="2" t="inlineStr">
        <is>
          <t>L2</t>
        </is>
      </c>
      <c r="C51" s="2" t="inlineStr">
        <is>
          <t>ACTIVE</t>
        </is>
      </c>
      <c r="D51" s="2" t="inlineStr">
        <is>
          <t>scale-up</t>
        </is>
      </c>
      <c r="E51" s="2" t="inlineStr">
        <is>
          <t>afm</t>
        </is>
      </c>
      <c r="F51" s="2" t="inlineStr">
        <is>
          <t>afm-level2, afm-full, level2</t>
        </is>
      </c>
      <c r="G51" s="2" t="inlineStr">
        <is>
          <t>Restart non-leader AFM controller instances and verify cluster remains healthy and switches stay in admitted state. Runs only on racks with ≥ 3 switch trays (raft quorum).</t>
        </is>
      </c>
    </row>
    <row r="52" ht="34.25" customHeight="1" s="33">
      <c r="A52" s="3" t="inlineStr">
        <is>
          <t>TC-AFM-022</t>
        </is>
      </c>
      <c r="B52" s="3" t="inlineStr">
        <is>
          <t>L2</t>
        </is>
      </c>
      <c r="C52" s="3" t="inlineStr">
        <is>
          <t>ACTIVE</t>
        </is>
      </c>
      <c r="D52" s="3" t="inlineStr">
        <is>
          <t>scale-up</t>
        </is>
      </c>
      <c r="E52" s="3" t="inlineStr">
        <is>
          <t>afm</t>
        </is>
      </c>
      <c r="F52" s="3" t="inlineStr">
        <is>
          <t>afm-level2, afm-full, level2</t>
        </is>
      </c>
      <c r="G52" s="3" t="inlineStr">
        <is>
          <t>Restart the leader AFM controller, verify leadership failover, and confirm switches return to admitted/healthy state after re-election.</t>
        </is>
      </c>
    </row>
    <row r="53" ht="34.25" customHeight="1" s="33">
      <c r="A53" s="2" t="inlineStr">
        <is>
          <t>TC-AFM-023</t>
        </is>
      </c>
      <c r="B53" s="2" t="inlineStr">
        <is>
          <t>L2</t>
        </is>
      </c>
      <c r="C53" s="2" t="inlineStr">
        <is>
          <t>ACTIVE</t>
        </is>
      </c>
      <c r="D53" s="2" t="inlineStr">
        <is>
          <t>scale-up</t>
        </is>
      </c>
      <c r="E53" s="2" t="inlineStr">
        <is>
          <t>afm</t>
        </is>
      </c>
      <c r="F53" s="2" t="inlineStr">
        <is>
          <t>afm-level2, afm-full, level2</t>
        </is>
      </c>
      <c r="G53" s="2" t="inlineStr">
        <is>
          <t>Drain one switch node from AFM, then reactivate it and verify it rejoins the cluster in healthy/admitted state.</t>
        </is>
      </c>
    </row>
    <row r="54" ht="34.25" customHeight="1" s="33">
      <c r="A54" s="3" t="inlineStr">
        <is>
          <t>TC-AFM-024</t>
        </is>
      </c>
      <c r="B54" s="3" t="inlineStr">
        <is>
          <t>L2</t>
        </is>
      </c>
      <c r="C54" s="3" t="inlineStr">
        <is>
          <t>ACTIVE</t>
        </is>
      </c>
      <c r="D54" s="3" t="inlineStr">
        <is>
          <t>scale-up</t>
        </is>
      </c>
      <c r="E54" s="3" t="inlineStr">
        <is>
          <t>afm</t>
        </is>
      </c>
      <c r="F54" s="3" t="inlineStr">
        <is>
          <t>afm-level2, afm-full, level2</t>
        </is>
      </c>
      <c r="G54" s="3" t="inlineStr">
        <is>
          <t>Drain, decommission, and delete one switch node from AFM, then re-admit it and verify it rejoins the cluster.</t>
        </is>
      </c>
    </row>
    <row r="55" ht="34.25" customHeight="1" s="33">
      <c r="A55" s="2" t="inlineStr">
        <is>
          <t>TC-AFM-025</t>
        </is>
      </c>
      <c r="B55" s="2" t="inlineStr">
        <is>
          <t>L2</t>
        </is>
      </c>
      <c r="C55" s="2" t="inlineStr">
        <is>
          <t>ACTIVE</t>
        </is>
      </c>
      <c r="D55" s="2" t="inlineStr">
        <is>
          <t>scale-up</t>
        </is>
      </c>
      <c r="E55" s="2" t="inlineStr">
        <is>
          <t>afm</t>
        </is>
      </c>
      <c r="F55" s="2" t="inlineStr">
        <is>
          <t>afm-level2, afm-full, level2</t>
        </is>
      </c>
      <c r="G55" s="2" t="inlineStr">
        <is>
          <t>Force-decommission one switch node, delete it from AFM, then re-admit and verify it rejoins the cluster.</t>
        </is>
      </c>
    </row>
    <row r="56" ht="34.25" customHeight="1" s="33">
      <c r="A56" s="3" t="inlineStr">
        <is>
          <t>TC-AFM-026</t>
        </is>
      </c>
      <c r="B56" s="3" t="inlineStr">
        <is>
          <t>L2</t>
        </is>
      </c>
      <c r="C56" s="3" t="inlineStr">
        <is>
          <t>ACTIVE</t>
        </is>
      </c>
      <c r="D56" s="3" t="inlineStr">
        <is>
          <t>scale-up</t>
        </is>
      </c>
      <c r="E56" s="3" t="inlineStr">
        <is>
          <t>afm</t>
        </is>
      </c>
      <c r="F56" s="3" t="inlineStr">
        <is>
          <t>afm-level2, afm-full, level2</t>
        </is>
      </c>
      <c r="G56" s="3" t="inlineStr">
        <is>
          <t>Force-decommission and delete all switches; verify vPOD switch-planes (provisioned, available, effective) drop to 0. Re-admit switches and verify switch-planes recover to initial values.</t>
        </is>
      </c>
    </row>
    <row r="57" ht="34.25" customHeight="1" s="33">
      <c r="A57" s="2" t="inlineStr">
        <is>
          <t>TC-AFM-027</t>
        </is>
      </c>
      <c r="B57" s="2" t="inlineStr">
        <is>
          <t>L2</t>
        </is>
      </c>
      <c r="C57" s="2" t="inlineStr">
        <is>
          <t>ACTIVE</t>
        </is>
      </c>
      <c r="D57" s="2" t="inlineStr">
        <is>
          <t>scale-up</t>
        </is>
      </c>
      <c r="E57" s="2" t="inlineStr">
        <is>
          <t>afm</t>
        </is>
      </c>
      <c r="F57" s="2" t="inlineStr">
        <is>
          <t>afm-level2, afm-full, level2</t>
        </is>
      </c>
      <c r="G57" s="2" t="inlineStr">
        <is>
          <t>Drain one switch, restart the AFM controller, verify switches remain drained after restart, then reactivate and confirm healthy state.</t>
        </is>
      </c>
    </row>
    <row r="58" ht="34.25" customHeight="1" s="33">
      <c r="A58" s="3" t="inlineStr">
        <is>
          <t>TC-AFM-028</t>
        </is>
      </c>
      <c r="B58" s="3" t="inlineStr">
        <is>
          <t>L2</t>
        </is>
      </c>
      <c r="C58" s="3" t="inlineStr">
        <is>
          <t>ACTIVE</t>
        </is>
      </c>
      <c r="D58" s="3" t="inlineStr">
        <is>
          <t>scale-up</t>
        </is>
      </c>
      <c r="E58" s="3" t="inlineStr">
        <is>
          <t>afm</t>
        </is>
      </c>
      <c r="F58" s="3" t="inlineStr">
        <is>
          <t>afm-level2, afm-full, level2</t>
        </is>
      </c>
      <c r="G58" s="3" t="inlineStr">
        <is>
          <t>Drain and decommission one switch, restart the AFM controller, verify switches remain decommissioned, then delete, re-admit, and confirm healthy.</t>
        </is>
      </c>
    </row>
    <row r="59" ht="34.25" customHeight="1" s="33">
      <c r="A59" s="2" t="inlineStr">
        <is>
          <t>TC-AFM-029</t>
        </is>
      </c>
      <c r="B59" s="2" t="inlineStr">
        <is>
          <t>L2</t>
        </is>
      </c>
      <c r="C59" s="2" t="inlineStr">
        <is>
          <t>ACTIVE</t>
        </is>
      </c>
      <c r="D59" s="2" t="inlineStr">
        <is>
          <t>scale-up</t>
        </is>
      </c>
      <c r="E59" s="2" t="inlineStr">
        <is>
          <t>afm</t>
        </is>
      </c>
      <c r="F59" s="2" t="inlineStr">
        <is>
          <t>afm-level2, afm-full, level2</t>
        </is>
      </c>
      <c r="G59" s="2" t="inlineStr">
        <is>
          <t>Drain, decommission, and delete one switch, then restart the AFM controller. Verify switches are not re-added automatically. Re-admit after agent restart and confirm healthy state.</t>
        </is>
      </c>
    </row>
    <row r="60" ht="34.25" customHeight="1" s="33">
      <c r="A60" s="3" t="inlineStr">
        <is>
          <t>TC-AFM-030</t>
        </is>
      </c>
      <c r="B60" s="3" t="inlineStr">
        <is>
          <t>L2</t>
        </is>
      </c>
      <c r="C60" s="3" t="inlineStr">
        <is>
          <t>ACTIVE</t>
        </is>
      </c>
      <c r="D60" s="3" t="inlineStr">
        <is>
          <t>scale-up</t>
        </is>
      </c>
      <c r="E60" s="3" t="inlineStr">
        <is>
          <t>afm</t>
        </is>
      </c>
      <c r="F60" s="3" t="inlineStr">
        <is>
          <t>afm-level2, afm-full, level2</t>
        </is>
      </c>
      <c r="G60" s="3" t="inlineStr">
        <is>
          <t>Force-decommission one switch, restart the AFM controller, verify switches remain decommissioned, then delete, re-admit, and confirm healthy.</t>
        </is>
      </c>
    </row>
    <row r="61" ht="34.25" customHeight="1" s="33">
      <c r="A61" s="2" t="inlineStr">
        <is>
          <t>TC-AFM-031</t>
        </is>
      </c>
      <c r="B61" s="2" t="inlineStr">
        <is>
          <t>L2</t>
        </is>
      </c>
      <c r="C61" s="2" t="inlineStr">
        <is>
          <t>ACTIVE</t>
        </is>
      </c>
      <c r="D61" s="2" t="inlineStr">
        <is>
          <t>scale-up</t>
        </is>
      </c>
      <c r="E61" s="2" t="inlineStr">
        <is>
          <t>afm</t>
        </is>
      </c>
      <c r="F61" s="2" t="inlineStr">
        <is>
          <t>afm-level2, afm-full, level2</t>
        </is>
      </c>
      <c r="G61" s="2" t="inlineStr">
        <is>
          <t>Stop the switch agent, drain one switch (should succeed even with agent down), start the agent, verify the switch remains drained, then reactivate and confirm healthy.</t>
        </is>
      </c>
    </row>
    <row r="62" ht="34.25" customHeight="1" s="33">
      <c r="A62" s="3" t="inlineStr">
        <is>
          <t>TC-AFM-032</t>
        </is>
      </c>
      <c r="B62" s="3" t="inlineStr">
        <is>
          <t>L2</t>
        </is>
      </c>
      <c r="C62" s="3" t="inlineStr">
        <is>
          <t>ACTIVE</t>
        </is>
      </c>
      <c r="D62" s="3" t="inlineStr">
        <is>
          <t>scale-up</t>
        </is>
      </c>
      <c r="E62" s="3" t="inlineStr">
        <is>
          <t>afm</t>
        </is>
      </c>
      <c r="F62" s="3" t="inlineStr">
        <is>
          <t>afm-level2, afm-full, level2</t>
        </is>
      </c>
      <c r="G62" s="3" t="inlineStr">
        <is>
          <t>Drain one switch, stop agent, attempt regular decommission (expect decommission_failed), then force-decommission to recover. Delete, re-admit after agent restart, and confirm healthy.</t>
        </is>
      </c>
    </row>
    <row r="63" ht="34.25" customHeight="1" s="33">
      <c r="A63" s="2" t="inlineStr">
        <is>
          <t>TC-AFM-033</t>
        </is>
      </c>
      <c r="B63" s="2" t="inlineStr">
        <is>
          <t>L2</t>
        </is>
      </c>
      <c r="C63" s="2" t="inlineStr">
        <is>
          <t>ACTIVE</t>
        </is>
      </c>
      <c r="D63" s="2" t="inlineStr">
        <is>
          <t>scale-up</t>
        </is>
      </c>
      <c r="E63" s="2" t="inlineStr">
        <is>
          <t>afm</t>
        </is>
      </c>
      <c r="F63" s="2" t="inlineStr">
        <is>
          <t>afm-level2, afm-full, level2</t>
        </is>
      </c>
      <c r="G63" s="2" t="inlineStr">
        <is>
          <t>Drain and decommission one switch, stop the agent, delete it (should succeed on a decommissioned switch even with agent down). Re-admit after agent restart and confirm healthy.</t>
        </is>
      </c>
    </row>
    <row r="64" ht="34.25" customHeight="1" s="33">
      <c r="A64" s="3" t="inlineStr">
        <is>
          <t>TC-AFM-034</t>
        </is>
      </c>
      <c r="B64" s="3" t="inlineStr">
        <is>
          <t>L2</t>
        </is>
      </c>
      <c r="C64" s="3" t="inlineStr">
        <is>
          <t>ACTIVE</t>
        </is>
      </c>
      <c r="D64" s="3" t="inlineStr">
        <is>
          <t>scale-up</t>
        </is>
      </c>
      <c r="E64" s="3" t="inlineStr">
        <is>
          <t>afm</t>
        </is>
      </c>
      <c r="F64" s="3" t="inlineStr">
        <is>
          <t>afm-level2, afm-full, level2</t>
        </is>
      </c>
      <c r="G64" s="3" t="inlineStr">
        <is>
          <t>Stop the switch agent, force-decommission and delete one switch while agent is down. Re-admit after agent restart and confirm healthy.</t>
        </is>
      </c>
    </row>
    <row r="65" ht="34.25" customHeight="1" s="33">
      <c r="A65" s="2" t="inlineStr">
        <is>
          <t>TC-AFM-035</t>
        </is>
      </c>
      <c r="B65" s="2" t="inlineStr">
        <is>
          <t>L2</t>
        </is>
      </c>
      <c r="C65" s="2" t="inlineStr">
        <is>
          <t>ACTIVE</t>
        </is>
      </c>
      <c r="D65" s="2" t="inlineStr">
        <is>
          <t>scale-up</t>
        </is>
      </c>
      <c r="E65" s="2" t="inlineStr">
        <is>
          <t>afm</t>
        </is>
      </c>
      <c r="F65" s="2" t="inlineStr">
        <is>
          <t>afm-level2, afm-full, level2</t>
        </is>
      </c>
      <c r="G65" s="2" t="inlineStr">
        <is>
          <t>Decommission, delete, and readmit the first switch while one of its ports is down.</t>
        </is>
      </c>
    </row>
    <row r="66" ht="34.25" customHeight="1" s="33">
      <c r="A66" s="3" t="inlineStr">
        <is>
          <t>TC-AFM-036</t>
        </is>
      </c>
      <c r="B66" s="3" t="inlineStr">
        <is>
          <t>L2</t>
        </is>
      </c>
      <c r="C66" s="3" t="inlineStr">
        <is>
          <t>ACTIVE</t>
        </is>
      </c>
      <c r="D66" s="3" t="inlineStr">
        <is>
          <t>scale-up</t>
        </is>
      </c>
      <c r="E66" s="3" t="inlineStr">
        <is>
          <t>afm</t>
        </is>
      </c>
      <c r="F66" s="3" t="inlineStr">
        <is>
          <t>afm-level2, afm-full, level2</t>
        </is>
      </c>
      <c r="G66" s="3" t="inlineStr">
        <is>
          <t>Stop switch agent, create a new vPOD — verify it enters configurationFailed. Restart agent, verify vPOD recovers to online. Restore system vPOD and delete the user vPOD.</t>
        </is>
      </c>
    </row>
    <row r="67" ht="34.25" customHeight="1" s="33">
      <c r="A67" s="2" t="inlineStr">
        <is>
          <t>TC-AFM-037</t>
        </is>
      </c>
      <c r="B67" s="2" t="inlineStr">
        <is>
          <t>L2</t>
        </is>
      </c>
      <c r="C67" s="2" t="inlineStr">
        <is>
          <t>ACTIVE</t>
        </is>
      </c>
      <c r="D67" s="2" t="inlineStr">
        <is>
          <t>scale-up</t>
        </is>
      </c>
      <c r="E67" s="2" t="inlineStr">
        <is>
          <t>afm</t>
        </is>
      </c>
      <c r="F67" s="2" t="inlineStr">
        <is>
          <t>afm-level2, afm-full, level2</t>
        </is>
      </c>
      <c r="G67" s="2" t="inlineStr">
        <is>
          <t>Create a user vPOD, stop switch agent, delete the vPOD, restart agent. Verify all static MAC entries are cleared on all ASICs after agent restart. Restore computes to system vPOD.</t>
        </is>
      </c>
    </row>
    <row r="68" ht="34.25" customHeight="1" s="33">
      <c r="A68" s="3" t="inlineStr">
        <is>
          <t>TC-AFM-038</t>
        </is>
      </c>
      <c r="B68" s="3" t="inlineStr">
        <is>
          <t>L2</t>
        </is>
      </c>
      <c r="C68" s="3" t="inlineStr">
        <is>
          <t>ACTIVE</t>
        </is>
      </c>
      <c r="D68" s="3" t="inlineStr">
        <is>
          <t>scale-up</t>
        </is>
      </c>
      <c r="E68" s="3" t="inlineStr">
        <is>
          <t>afm</t>
        </is>
      </c>
      <c r="F68" s="3" t="inlineStr">
        <is>
          <t>afm-level2, afm-full, level2</t>
        </is>
      </c>
      <c r="G68" s="3" t="inlineStr">
        <is>
          <t>Stop switch agent, modify system vPOD to trigger configurationFailed, attempt Reconcile (also fails with agent down). Restart agent, trigger Reconcile again, verify vPOD recovers to online.</t>
        </is>
      </c>
    </row>
    <row r="69" ht="34.25" customHeight="1" s="33">
      <c r="A69" s="2" t="inlineStr">
        <is>
          <t>TC-AFM-039</t>
        </is>
      </c>
      <c r="B69" s="2" t="inlineStr">
        <is>
          <t>L2</t>
        </is>
      </c>
      <c r="C69" s="2" t="inlineStr">
        <is>
          <t>ACTIVE</t>
        </is>
      </c>
      <c r="D69" s="2" t="inlineStr">
        <is>
          <t>scale-up</t>
        </is>
      </c>
      <c r="E69" s="2" t="inlineStr">
        <is>
          <t>afm</t>
        </is>
      </c>
      <c r="F69" s="2" t="inlineStr">
        <is>
          <t>afm-level2, afm-full, level2</t>
        </is>
      </c>
      <c r="G69" s="2" t="inlineStr">
        <is>
          <t>Bring down a switch link, create a new vPOD — verify it enters degraded state. Bring the link back up, verify vPOD transitions to online. Restore system vPOD and delete user vPOD.</t>
        </is>
      </c>
    </row>
    <row r="70" ht="34.25" customHeight="1" s="33">
      <c r="A70" s="3" t="inlineStr">
        <is>
          <t>TC-AFM-040</t>
        </is>
      </c>
      <c r="B70" s="3" t="inlineStr">
        <is>
          <t>L2</t>
        </is>
      </c>
      <c r="C70" s="3" t="inlineStr">
        <is>
          <t>ACTIVE</t>
        </is>
      </c>
      <c r="D70" s="3" t="inlineStr">
        <is>
          <t>scale-up</t>
        </is>
      </c>
      <c r="E70" s="3" t="inlineStr">
        <is>
          <t>afm</t>
        </is>
      </c>
      <c r="F70" s="3" t="inlineStr">
        <is>
          <t>afm-level2, afm-full, level2</t>
        </is>
      </c>
      <c r="G70" s="3" t="inlineStr">
        <is>
          <t>Create an automatic failover policy with link_fail_threshold=30s, attach to system vPOD, bring down a link. Verify port goes to PortFailed after ~30s and vPOD enters degraded. Restore link, verify online recovery.</t>
        </is>
      </c>
    </row>
    <row r="71" ht="34.25" customHeight="1" s="33">
      <c r="A71" s="2" t="inlineStr">
        <is>
          <t>TC-AFM-041</t>
        </is>
      </c>
      <c r="B71" s="2" t="inlineStr">
        <is>
          <t>L2</t>
        </is>
      </c>
      <c r="C71" s="2" t="inlineStr">
        <is>
          <t>ACTIVE</t>
        </is>
      </c>
      <c r="D71" s="2" t="inlineStr">
        <is>
          <t>scale-up</t>
        </is>
      </c>
      <c r="E71" s="2" t="inlineStr">
        <is>
          <t>afm</t>
        </is>
      </c>
      <c r="F71" s="2" t="inlineStr">
        <is>
          <t>afm-level2, afm-full, level2</t>
        </is>
      </c>
      <c r="G71" s="2" t="inlineStr">
        <is>
          <t>Create a manual failover policy with link_fail_threshold=30s, attach to system vPOD, bring down a link. Verify port goes to PortFailed after ~30s and vPOD enters needDataFabricReconfiguration (no auto-reconfigure). Restore link and original policy.</t>
        </is>
      </c>
    </row>
    <row r="72" ht="34.25" customHeight="1" s="33">
      <c r="A72" s="3" t="inlineStr">
        <is>
          <t>TC-AFM-042</t>
        </is>
      </c>
      <c r="B72" s="3" t="inlineStr">
        <is>
          <t>L2</t>
        </is>
      </c>
      <c r="C72" s="3" t="inlineStr">
        <is>
          <t>ACTIVE</t>
        </is>
      </c>
      <c r="D72" s="3" t="inlineStr">
        <is>
          <t>scale-up</t>
        </is>
      </c>
      <c r="E72" s="3" t="inlineStr">
        <is>
          <t>afm</t>
        </is>
      </c>
      <c r="F72" s="3" t="inlineStr">
        <is>
          <t>afm-level2, afm-full, level2</t>
        </is>
      </c>
      <c r="G72" s="3" t="inlineStr">
        <is>
          <t>Create a manual failover policy with 300s timer, attach to vPOD, then edit it to automatic with 10s timer. Bring down a link for 15s — verify PortFailed at ~10s (proves edit took effect). Verify vPOD degrades and recovers after link restore.</t>
        </is>
      </c>
    </row>
    <row r="73" ht="34.25" customHeight="1" s="33">
      <c r="A73" s="2" t="inlineStr">
        <is>
          <t>TC-AFM-043</t>
        </is>
      </c>
      <c r="B73" s="2" t="inlineStr">
        <is>
          <t>L2</t>
        </is>
      </c>
      <c r="C73" s="2" t="inlineStr">
        <is>
          <t>ACTIVE</t>
        </is>
      </c>
      <c r="D73" s="2" t="inlineStr">
        <is>
          <t>scale-up</t>
        </is>
      </c>
      <c r="E73" s="2" t="inlineStr">
        <is>
          <t>afm</t>
        </is>
      </c>
      <c r="F73" s="2" t="inlineStr">
        <is>
          <t>afm-level2, afm-full, level2</t>
        </is>
      </c>
      <c r="G73" s="2" t="inlineStr">
        <is>
          <t>Create user/role/rolebinding, validate cluster permissions and bad-login tracking.</t>
        </is>
      </c>
    </row>
    <row r="74" ht="34.25" customHeight="1" s="33">
      <c r="A74" s="3" t="inlineStr">
        <is>
          <t>TC-AFM-044</t>
        </is>
      </c>
      <c r="B74" s="3" t="inlineStr">
        <is>
          <t>L2</t>
        </is>
      </c>
      <c r="C74" s="3" t="inlineStr">
        <is>
          <t>ACTIVE</t>
        </is>
      </c>
      <c r="D74" s="3" t="inlineStr">
        <is>
          <t>scale-up</t>
        </is>
      </c>
      <c r="E74" s="3" t="inlineStr">
        <is>
          <t>afm</t>
        </is>
      </c>
      <c r="F74" s="3" t="inlineStr">
        <is>
          <t>afm-level2, afm-full, level2</t>
        </is>
      </c>
      <c r="G74" s="3" t="inlineStr">
        <is>
          <t>Validate radius and LDAP authentication via AFM auth policy.</t>
        </is>
      </c>
    </row>
    <row r="75" ht="34.25" customHeight="1" s="33">
      <c r="A75" s="2" t="inlineStr">
        <is>
          <t>TC-AFM-045</t>
        </is>
      </c>
      <c r="B75" s="2" t="inlineStr">
        <is>
          <t>L2</t>
        </is>
      </c>
      <c r="C75" s="2" t="inlineStr">
        <is>
          <t>ACTIVE</t>
        </is>
      </c>
      <c r="D75" s="2" t="inlineStr">
        <is>
          <t>scale-up</t>
        </is>
      </c>
      <c r="E75" s="2" t="inlineStr">
        <is>
          <t>afm</t>
        </is>
      </c>
      <c r="F75" s="2" t="inlineStr">
        <is>
          <t>afm-level2, afm-full, level2</t>
        </is>
      </c>
      <c r="G75" s="2" t="inlineStr">
        <is>
          <t>Decommission, delete, and re-add a compute node; verify state transitions and accelerator ID consistency throughout.</t>
        </is>
      </c>
    </row>
    <row r="76" ht="34.25" customHeight="1" s="33">
      <c r="A76" s="3" t="inlineStr">
        <is>
          <t>TC-AFM-046</t>
        </is>
      </c>
      <c r="B76" s="3" t="inlineStr">
        <is>
          <t>L2</t>
        </is>
      </c>
      <c r="C76" s="3" t="inlineStr">
        <is>
          <t>ACTIVE</t>
        </is>
      </c>
      <c r="D76" s="3" t="inlineStr">
        <is>
          <t>scale-up</t>
        </is>
      </c>
      <c r="E76" s="3" t="inlineStr">
        <is>
          <t>afm</t>
        </is>
      </c>
      <c r="F76" s="3" t="inlineStr">
        <is>
          <t>afm-level2, afm-full, level2</t>
        </is>
      </c>
      <c r="G76" s="3" t="inlineStr">
        <is>
          <t>Verify that force-decommissioning a compute node that is part of a vPod is rejected, then remove it from the vPod and force-decommission successfully. Re-add and verify healthy state.</t>
        </is>
      </c>
    </row>
    <row r="77" ht="34.25" customHeight="1" s="33">
      <c r="A77" s="2" t="inlineStr">
        <is>
          <t>TC-AFM-047</t>
        </is>
      </c>
      <c r="B77" s="2" t="inlineStr">
        <is>
          <t>L2</t>
        </is>
      </c>
      <c r="C77" s="2" t="inlineStr">
        <is>
          <t>ACTIVE</t>
        </is>
      </c>
      <c r="D77" s="2" t="inlineStr">
        <is>
          <t>scale-up</t>
        </is>
      </c>
      <c r="E77" s="2" t="inlineStr">
        <is>
          <t>afm</t>
        </is>
      </c>
      <c r="F77" s="2" t="inlineStr">
        <is>
          <t>afm-level2, afm-full, level2</t>
        </is>
      </c>
      <c r="G77" s="2" t="inlineStr">
        <is>
          <t>Stop the agent on a compute node to make it unhealthy; verify that both decommission and force-decommission are rejected while it is in a vPod. Remove it from the vPod, force-decommission, delete, and re-add to verify recovery.</t>
        </is>
      </c>
    </row>
    <row r="78" ht="34.25" customHeight="1" s="33">
      <c r="A78" s="3" t="inlineStr">
        <is>
          <t>TC-AFM-048</t>
        </is>
      </c>
      <c r="B78" s="3" t="inlineStr">
        <is>
          <t>L2</t>
        </is>
      </c>
      <c r="C78" s="3" t="inlineStr">
        <is>
          <t>ACTIVE</t>
        </is>
      </c>
      <c r="D78" s="3" t="inlineStr">
        <is>
          <t>scale-up</t>
        </is>
      </c>
      <c r="E78" s="3" t="inlineStr">
        <is>
          <t>afm</t>
        </is>
      </c>
      <c r="F78" s="3" t="inlineStr">
        <is>
          <t>afm-level2, afm-full, level2</t>
        </is>
      </c>
      <c r="G78" s="3" t="inlineStr">
        <is>
          <t>Trigger an AFM TechSupportRequest via the REST API covering all admitted nodes — all switch trays, all compute trays, and all controller nodes (by IP). All three node types must be explicitly included in spec.node-selector.names. …</t>
        </is>
      </c>
    </row>
    <row r="79" ht="34.25" customHeight="1" s="33">
      <c r="A79" s="2" t="inlineStr">
        <is>
          <t>TC-AFM-048</t>
        </is>
      </c>
      <c r="B79" s="2" t="inlineStr">
        <is>
          <t>L2</t>
        </is>
      </c>
      <c r="C79" s="2" t="inlineStr">
        <is>
          <t>ACTIVE</t>
        </is>
      </c>
      <c r="D79" s="2" t="inlineStr">
        <is>
          <t>scale-up</t>
        </is>
      </c>
      <c r="E79" s="2" t="inlineStr">
        <is>
          <t>afm</t>
        </is>
      </c>
      <c r="F79" s="2" t="inlineStr">
        <is>
          <t>afm-level2, afm-full, level2</t>
        </is>
      </c>
      <c r="G79" s="2" t="inlineStr">
        <is>
          <t>Trigger an AFM TechSupportRequest via the REST API covering all admitted nodes — all switch trays, all compute trays, and all controller nodes (by IP). All three node types must be explicitly included in spec.node-selector.names. …</t>
        </is>
      </c>
    </row>
    <row r="80" ht="34.25" customHeight="1" s="33">
      <c r="A80" s="3" t="inlineStr">
        <is>
          <t>TC-AFM-051</t>
        </is>
      </c>
      <c r="B80" s="3" t="inlineStr">
        <is>
          <t>L2</t>
        </is>
      </c>
      <c r="C80" s="3" t="inlineStr">
        <is>
          <t>ACTIVE</t>
        </is>
      </c>
      <c r="D80" s="3" t="inlineStr">
        <is>
          <t>scale-up</t>
        </is>
      </c>
      <c r="E80" s="3" t="inlineStr">
        <is>
          <t>afm</t>
        </is>
      </c>
      <c r="F80" s="3" t="inlineStr">
        <is>
          <t>afm-level2, afm-full, level2</t>
        </is>
      </c>
      <c r="G80" s="3" t="inlineStr">
        <is>
          <t>Validates the AFM ConfigurationSnapshot and SnapshotRestore end-to-end: 1. Snapshot the default cluster state ("Default-Snapshot") 2. Make deliberate config changes: create 2 failover policies, move 4 compute trays out of the system vPod, create 2 test vPods 3. Snapshot the changed state ("Test-Config-Snapshot-1") 4. …</t>
        </is>
      </c>
    </row>
    <row r="81" ht="34.25" customHeight="1" s="33">
      <c r="A81" s="2" t="inlineStr">
        <is>
          <t>TC-AFM-053</t>
        </is>
      </c>
      <c r="B81" s="2" t="inlineStr">
        <is>
          <t>L2</t>
        </is>
      </c>
      <c r="C81" s="2" t="inlineStr">
        <is>
          <t>ACTIVE</t>
        </is>
      </c>
      <c r="D81" s="2" t="inlineStr">
        <is>
          <t>scale-up</t>
        </is>
      </c>
      <c r="E81" s="2" t="inlineStr">
        <is>
          <t>afm</t>
        </is>
      </c>
      <c r="F81" s="2" t="inlineStr">
        <is>
          <t>afm-level2, afm-full, level2</t>
        </is>
      </c>
      <c r="G81" s="2" t="inlineStr">
        <is>
          <t>Validate the AFM telemetry metrics pipeline end-to-end by querying POST /telemetry/v1/metrics for all 5 metric kinds and verifying that each field returns non-null, non-zero time-series data:</t>
        </is>
      </c>
    </row>
    <row r="82" ht="34.25" customHeight="1" s="33">
      <c r="A82" s="3" t="inlineStr">
        <is>
          <t>TC-AFM-058</t>
        </is>
      </c>
      <c r="B82" s="3" t="inlineStr">
        <is>
          <t>L2</t>
        </is>
      </c>
      <c r="C82" s="3" t="inlineStr">
        <is>
          <t>ACTIVE</t>
        </is>
      </c>
      <c r="D82" s="3" t="inlineStr">
        <is>
          <t>scale-up</t>
        </is>
      </c>
      <c r="E82" s="3" t="inlineStr">
        <is>
          <t>afm</t>
        </is>
      </c>
      <c r="F82" s="3" t="inlineStr">
        <is>
          <t>afm-level2, afm-full, level2</t>
        </is>
      </c>
      <c r="G82" s="3" t="inlineStr">
        <is>
          <t>Validate that the IFoE station path-to-port mapping (afmctl show station) is correct after each of four link-level triggers — Link Down, Link Flap, Link Drain, and Link Activate — and after an inb-node-agent restart, when in-domain TransferBench traffic runs after (not during) each trigger. …</t>
        </is>
      </c>
    </row>
    <row r="83" ht="34.25" customHeight="1" s="33">
      <c r="A83" s="2" t="inlineStr">
        <is>
          <t>TC-AFM-060</t>
        </is>
      </c>
      <c r="B83" s="2" t="inlineStr">
        <is>
          <t>L2</t>
        </is>
      </c>
      <c r="C83" s="2" t="inlineStr">
        <is>
          <t>ACTIVE</t>
        </is>
      </c>
      <c r="D83" s="2" t="inlineStr">
        <is>
          <t>scale-up</t>
        </is>
      </c>
      <c r="E83" s="2" t="inlineStr">
        <is>
          <t>afm</t>
        </is>
      </c>
      <c r="F83" s="2" t="inlineStr">
        <is>
          <t>afm-level2, afm-full, level2</t>
        </is>
      </c>
      <c r="G83" s="2" t="inlineStr">
        <is>
          <t>Validate that the IFoE station port-to-path mapping (afmctl show station) and the lane enable bitmap (lane_en_bitmap) are always consistent with the current port state — across link down, link up, port drain, and port activate triggers — both without and with live cross-domain TransferBench traffic.</t>
        </is>
      </c>
    </row>
    <row r="84" ht="34.25" customHeight="1" s="33">
      <c r="A84" s="3" t="inlineStr">
        <is>
          <t>aggwatch-connect-without-watch-options-hang</t>
        </is>
      </c>
      <c r="B84" s="3" t="inlineStr">
        <is>
          <t>L2</t>
        </is>
      </c>
      <c r="C84" s="3" t="inlineStr">
        <is>
          <t>ACTIVE</t>
        </is>
      </c>
      <c r="D84" s="3" t="inlineStr">
        <is>
          <t>scale-up</t>
        </is>
      </c>
      <c r="E84" s="3" t="inlineStr">
        <is>
          <t>afm</t>
        </is>
      </c>
      <c r="F84" s="3" t="inlineStr">
        <is>
          <t>afm-level2, afm-full, level2</t>
        </is>
      </c>
      <c r="G84" s="3" t="inlineStr">
        <is>
          <t>Verify that the server does not hang indefinitely when a client connects but never sends watch options. Each orphaned connection permanently consumes a goroutine and gRPC resources.</t>
        </is>
      </c>
    </row>
    <row r="85" ht="34.25" customHeight="1" s="33">
      <c r="A85" s="2" t="inlineStr">
        <is>
          <t>aggwatch-cross-origin-websocket-cswsh</t>
        </is>
      </c>
      <c r="B85" s="2" t="inlineStr">
        <is>
          <t>L2</t>
        </is>
      </c>
      <c r="C85" s="2" t="inlineStr">
        <is>
          <t>ACTIVE</t>
        </is>
      </c>
      <c r="D85" s="2" t="inlineStr">
        <is>
          <t>scale-up</t>
        </is>
      </c>
      <c r="E85" s="2" t="inlineStr">
        <is>
          <t>afm</t>
        </is>
      </c>
      <c r="F85" s="2" t="inlineStr">
        <is>
          <t>afm-level2, afm-full, level2</t>
        </is>
      </c>
      <c r="G85" s="2" t="inlineStr">
        <is>
          <t>Verify that WebSocket connections from a different origin are rejected to prevent Cross-Site WebSocket Hijacking (CSWSH). If events are received from a cross-origin connection, this is a vulnerability — any malicious website the user visits can silently stream AFM cluster data.</t>
        </is>
      </c>
    </row>
    <row r="86" ht="34.25" customHeight="1" s="33">
      <c r="A86" s="3" t="inlineStr">
        <is>
          <t>aggwatch-event-burst-under-load</t>
        </is>
      </c>
      <c r="B86" s="3" t="inlineStr">
        <is>
          <t>L2</t>
        </is>
      </c>
      <c r="C86" s="3" t="inlineStr">
        <is>
          <t>ACTIVE</t>
        </is>
      </c>
      <c r="D86" s="3" t="inlineStr">
        <is>
          <t>scale-up</t>
        </is>
      </c>
      <c r="E86" s="3" t="inlineStr">
        <is>
          <t>afm</t>
        </is>
      </c>
      <c r="F86" s="3" t="inlineStr">
        <is>
          <t>afm-level2, afm-full, level2</t>
        </is>
      </c>
      <c r="G86" s="3" t="inlineStr">
        <is>
          <t>Verify that AggWatch correctly delivers all events during a high-volume burst of CRUD operations, with no drops, duplicates, or ordering issues.</t>
        </is>
      </c>
    </row>
    <row r="87" ht="34.25" customHeight="1" s="33">
      <c r="A87" s="2" t="inlineStr">
        <is>
          <t>aggwatch-malformed-json-watch-options</t>
        </is>
      </c>
      <c r="B87" s="2" t="inlineStr">
        <is>
          <t>L2</t>
        </is>
      </c>
      <c r="C87" s="2" t="inlineStr">
        <is>
          <t>ACTIVE</t>
        </is>
      </c>
      <c r="D87" s="2" t="inlineStr">
        <is>
          <t>scale-up</t>
        </is>
      </c>
      <c r="E87" s="2" t="inlineStr">
        <is>
          <t>afm</t>
        </is>
      </c>
      <c r="F87" s="2" t="inlineStr">
        <is>
          <t>afm-level2, afm-full, level2</t>
        </is>
      </c>
      <c r="G87" s="2" t="inlineStr">
        <is>
          <t>Verify that sending malformed JSON as watch options results in the server responding with an error event and closing the connection gracefully, with no server crash or panic.</t>
        </is>
      </c>
    </row>
    <row r="88" ht="34.25" customHeight="1" s="33">
      <c r="A88" s="3" t="inlineStr">
        <is>
          <t>aggwatch-rapid-connect-disconnect-resource-leak</t>
        </is>
      </c>
      <c r="B88" s="3" t="inlineStr">
        <is>
          <t>L2</t>
        </is>
      </c>
      <c r="C88" s="3" t="inlineStr">
        <is>
          <t>ACTIVE</t>
        </is>
      </c>
      <c r="D88" s="3" t="inlineStr">
        <is>
          <t>scale-up</t>
        </is>
      </c>
      <c r="E88" s="3" t="inlineStr">
        <is>
          <t>afm</t>
        </is>
      </c>
      <c r="F88" s="3" t="inlineStr">
        <is>
          <t>afm-level2, afm-full, level2</t>
        </is>
      </c>
      <c r="G88" s="3" t="inlineStr">
        <is>
          <t>Verify that the server properly cleans up goroutines, gRPC streams, and memory on each disconnect during rapid connect/disconnect cycles.</t>
        </is>
      </c>
    </row>
    <row r="89" ht="34.25" customHeight="1" s="33">
      <c r="A89" s="2" t="inlineStr">
        <is>
          <t>aggwatch-rbac-change-during-active-connection</t>
        </is>
      </c>
      <c r="B89" s="2" t="inlineStr">
        <is>
          <t>L2</t>
        </is>
      </c>
      <c r="C89" s="2" t="inlineStr">
        <is>
          <t>ACTIVE</t>
        </is>
      </c>
      <c r="D89" s="2" t="inlineStr">
        <is>
          <t>scale-up</t>
        </is>
      </c>
      <c r="E89" s="2" t="inlineStr">
        <is>
          <t>afm</t>
        </is>
      </c>
      <c r="F89" s="2" t="inlineStr">
        <is>
          <t>afm-level2, afm-full, level2</t>
        </is>
      </c>
      <c r="G89" s="2" t="inlineStr">
        <is>
          <t>Verify and document the behavior when a user's RBAC permissions are changed while they have an active AggWatch connection. Either events are filtered in real-time (more secure) or events continue until reconnect (current implementation).</t>
        </is>
      </c>
    </row>
    <row r="90" ht="34.25" customHeight="1" s="33">
      <c r="A90" s="3" t="inlineStr">
        <is>
          <t>compute-reconfigure-after-single-reset</t>
        </is>
      </c>
      <c r="B90" s="3" t="inlineStr">
        <is>
          <t>L2</t>
        </is>
      </c>
      <c r="C90" s="3" t="inlineStr">
        <is>
          <t>ACTIVE</t>
        </is>
      </c>
      <c r="D90" s="3" t="inlineStr">
        <is>
          <t>scale-up</t>
        </is>
      </c>
      <c r="E90" s="3" t="inlineStr">
        <is>
          <t>afm</t>
        </is>
      </c>
      <c r="F90" s="3" t="inlineStr">
        <is>
          <t>afm-level2, afm-full, level2</t>
        </is>
      </c>
      <c r="G90" s="3" t="inlineStr">
        <is>
          <t>Reset a single GPU accelerator, then reconfigure the compute and verify recovery.</t>
        </is>
      </c>
    </row>
    <row r="91" ht="34.25" customHeight="1" s="33">
      <c r="A91" s="2" t="inlineStr">
        <is>
          <t>compute-reconfigure-all-parallel</t>
        </is>
      </c>
      <c r="B91" s="2" t="inlineStr">
        <is>
          <t>L2</t>
        </is>
      </c>
      <c r="C91" s="2" t="inlineStr">
        <is>
          <t>ACTIVE</t>
        </is>
      </c>
      <c r="D91" s="2" t="inlineStr">
        <is>
          <t>scale-up</t>
        </is>
      </c>
      <c r="E91" s="2" t="inlineStr">
        <is>
          <t>afm</t>
        </is>
      </c>
      <c r="F91" s="2" t="inlineStr">
        <is>
          <t>afm-level2, afm-full, level2</t>
        </is>
      </c>
      <c r="G91" s="2" t="inlineStr">
        <is>
          <t>Reconfigure all compute nodes concurrently and verify GPU readiness and mesh connectivity.</t>
        </is>
      </c>
    </row>
    <row r="92" ht="34.25" customHeight="1" s="33">
      <c r="A92" s="3" t="inlineStr">
        <is>
          <t>compute-reconfigure-all-sequential</t>
        </is>
      </c>
      <c r="B92" s="3" t="inlineStr">
        <is>
          <t>L2</t>
        </is>
      </c>
      <c r="C92" s="3" t="inlineStr">
        <is>
          <t>ACTIVE</t>
        </is>
      </c>
      <c r="D92" s="3" t="inlineStr">
        <is>
          <t>scale-up</t>
        </is>
      </c>
      <c r="E92" s="3" t="inlineStr">
        <is>
          <t>afm</t>
        </is>
      </c>
      <c r="F92" s="3" t="inlineStr">
        <is>
          <t>afm-level2, afm-full, level2</t>
        </is>
      </c>
      <c r="G92" s="3" t="inlineStr">
        <is>
          <t>Reconfigure all compute nodes one at a time and verify GPU readiness after each.</t>
        </is>
      </c>
    </row>
    <row r="93" ht="34.25" customHeight="1" s="33">
      <c r="A93" s="2" t="inlineStr">
        <is>
          <t>compute-reconfigure-blacklisted-ports</t>
        </is>
      </c>
      <c r="B93" s="2" t="inlineStr">
        <is>
          <t>L2</t>
        </is>
      </c>
      <c r="C93" s="2" t="inlineStr">
        <is>
          <t>ACTIVE</t>
        </is>
      </c>
      <c r="D93" s="2" t="inlineStr">
        <is>
          <t>scale-up</t>
        </is>
      </c>
      <c r="E93" s="2" t="inlineStr">
        <is>
          <t>afm</t>
        </is>
      </c>
      <c r="F93" s="2" t="inlineStr">
        <is>
          <t>afm-level2, afm-full, level2</t>
        </is>
      </c>
      <c r="G93" s="2" t="inlineStr">
        <is>
          <t>Reconfigure a compute with blacklisted GPU ports and verify blacklisted ports remain drained while non-blacklisted GPUs return to Ready.</t>
        </is>
      </c>
    </row>
    <row r="94" ht="34.25" customHeight="1" s="33">
      <c r="A94" s="3" t="inlineStr">
        <is>
          <t>compute-reconfigure-decommissioned</t>
        </is>
      </c>
      <c r="B94" s="3" t="inlineStr">
        <is>
          <t>L2</t>
        </is>
      </c>
      <c r="C94" s="3" t="inlineStr">
        <is>
          <t>ACTIVE</t>
        </is>
      </c>
      <c r="D94" s="3" t="inlineStr">
        <is>
          <t>scale-up</t>
        </is>
      </c>
      <c r="E94" s="3" t="inlineStr">
        <is>
          <t>afm</t>
        </is>
      </c>
      <c r="F94" s="3" t="inlineStr">
        <is>
          <t>afm-level2, afm-full, level2</t>
        </is>
      </c>
      <c r="G94" s="3" t="inlineStr">
        <is>
          <t>Verify Reconfigure is rejected on a compute that has been decommissioned.</t>
        </is>
      </c>
    </row>
    <row r="95" ht="34.25" customHeight="1" s="33">
      <c r="A95" s="2" t="inlineStr">
        <is>
          <t>compute-reconfigure-degraded-vpod</t>
        </is>
      </c>
      <c r="B95" s="2" t="inlineStr">
        <is>
          <t>L2</t>
        </is>
      </c>
      <c r="C95" s="2" t="inlineStr">
        <is>
          <t>ACTIVE</t>
        </is>
      </c>
      <c r="D95" s="2" t="inlineStr">
        <is>
          <t>scale-up</t>
        </is>
      </c>
      <c r="E95" s="2" t="inlineStr">
        <is>
          <t>afm</t>
        </is>
      </c>
      <c r="F95" s="2" t="inlineStr">
        <is>
          <t>afm-level2, afm-full, level2</t>
        </is>
      </c>
      <c r="G95" s="2" t="inlineStr">
        <is>
          <t>Reconfigure a compute in a degraded vPOD and verify the vPOD does not degrade further.</t>
        </is>
      </c>
    </row>
    <row r="96" ht="34.25" customHeight="1" s="33">
      <c r="A96" s="3" t="inlineStr">
        <is>
          <t>compute-reconfigure-during-decommissioning</t>
        </is>
      </c>
      <c r="B96" s="3" t="inlineStr">
        <is>
          <t>L2</t>
        </is>
      </c>
      <c r="C96" s="3" t="inlineStr">
        <is>
          <t>ACTIVE</t>
        </is>
      </c>
      <c r="D96" s="3" t="inlineStr">
        <is>
          <t>scale-up</t>
        </is>
      </c>
      <c r="E96" s="3" t="inlineStr">
        <is>
          <t>afm</t>
        </is>
      </c>
      <c r="F96" s="3" t="inlineStr">
        <is>
          <t>afm-level2, afm-full, level2</t>
        </is>
      </c>
      <c r="G96" s="3" t="inlineStr">
        <is>
          <t>Verify Reconfigure is rejected while a compute is actively being decommissioned.</t>
        </is>
      </c>
    </row>
    <row r="97" ht="34.25" customHeight="1" s="33">
      <c r="A97" s="2" t="inlineStr">
        <is>
          <t>compute-reconfigure-idempotent</t>
        </is>
      </c>
      <c r="B97" s="2" t="inlineStr">
        <is>
          <t>L2</t>
        </is>
      </c>
      <c r="C97" s="2" t="inlineStr">
        <is>
          <t>ACTIVE</t>
        </is>
      </c>
      <c r="D97" s="2" t="inlineStr">
        <is>
          <t>scale-up</t>
        </is>
      </c>
      <c r="E97" s="2" t="inlineStr">
        <is>
          <t>afm</t>
        </is>
      </c>
      <c r="F97" s="2" t="inlineStr">
        <is>
          <t>afm-level2, afm-full, level2</t>
        </is>
      </c>
      <c r="G97" s="2" t="inlineStr">
        <is>
          <t>Verify that calling Reconfigure twice back-to-back produces the same result and leaves state unchanged.</t>
        </is>
      </c>
    </row>
    <row r="98" ht="34.25" customHeight="1" s="33">
      <c r="A98" s="3" t="inlineStr">
        <is>
          <t>compute-reconfigure-nonexistent</t>
        </is>
      </c>
      <c r="B98" s="3" t="inlineStr">
        <is>
          <t>L2</t>
        </is>
      </c>
      <c r="C98" s="3" t="inlineStr">
        <is>
          <t>ACTIVE</t>
        </is>
      </c>
      <c r="D98" s="3" t="inlineStr">
        <is>
          <t>scale-up</t>
        </is>
      </c>
      <c r="E98" s="3" t="inlineStr">
        <is>
          <t>afm</t>
        </is>
      </c>
      <c r="F98" s="3" t="inlineStr">
        <is>
          <t>afm-level2, afm-full, level2</t>
        </is>
      </c>
      <c r="G98" s="3" t="inlineStr">
        <is>
          <t>Verify Reconfigure is rejected when called with a non-existent compute name.</t>
        </is>
      </c>
    </row>
    <row r="99" ht="34.25" customHeight="1" s="33">
      <c r="A99" s="2" t="inlineStr">
        <is>
          <t>compute-reconfigure-readonly-rbac</t>
        </is>
      </c>
      <c r="B99" s="2" t="inlineStr">
        <is>
          <t>L2</t>
        </is>
      </c>
      <c r="C99" s="2" t="inlineStr">
        <is>
          <t>ACTIVE</t>
        </is>
      </c>
      <c r="D99" s="2" t="inlineStr">
        <is>
          <t>scale-up</t>
        </is>
      </c>
      <c r="E99" s="2" t="inlineStr">
        <is>
          <t>afm</t>
        </is>
      </c>
      <c r="F99" s="2" t="inlineStr">
        <is>
          <t>afm-level2, afm-full, level2</t>
        </is>
      </c>
      <c r="G99" s="2" t="inlineStr">
        <is>
          <t>Verify Reconfigure returns 403 when called by a user with read-only RBAC permissions.</t>
        </is>
      </c>
    </row>
    <row r="100" ht="34.25" customHeight="1" s="33">
      <c r="A100" s="3" t="inlineStr">
        <is>
          <t>compute-reconfigure-rejected-unhealthy</t>
        </is>
      </c>
      <c r="B100" s="3" t="inlineStr">
        <is>
          <t>L2</t>
        </is>
      </c>
      <c r="C100" s="3" t="inlineStr">
        <is>
          <t>ACTIVE</t>
        </is>
      </c>
      <c r="D100" s="3" t="inlineStr">
        <is>
          <t>scale-up</t>
        </is>
      </c>
      <c r="E100" s="3" t="inlineStr">
        <is>
          <t>afm</t>
        </is>
      </c>
      <c r="F100" s="3" t="inlineStr">
        <is>
          <t>afm-level2, afm-full, level2</t>
        </is>
      </c>
      <c r="G100" s="3" t="inlineStr">
        <is>
          <t>Verify Reconfigure is accepted (200) on an unhealthy compute but has no effect while the agent is stopped. After resuming the agent, verify reconfigure works properly.</t>
        </is>
      </c>
    </row>
    <row r="101" ht="34.25" customHeight="1" s="33">
      <c r="A101" s="2" t="inlineStr">
        <is>
          <t>compute-reconfigure-single</t>
        </is>
      </c>
      <c r="B101" s="2" t="inlineStr">
        <is>
          <t>L2</t>
        </is>
      </c>
      <c r="C101" s="2" t="inlineStr">
        <is>
          <t>ACTIVE</t>
        </is>
      </c>
      <c r="D101" s="2" t="inlineStr">
        <is>
          <t>scale-up</t>
        </is>
      </c>
      <c r="E101" s="2" t="inlineStr">
        <is>
          <t>afm</t>
        </is>
      </c>
      <c r="F101" s="2" t="inlineStr">
        <is>
          <t>afm-level2, afm-full, level2</t>
        </is>
      </c>
      <c r="G101" s="2" t="inlineStr">
        <is>
          <t>Reconfigure a single compute node and verify GPU readiness and cluster stability.</t>
        </is>
      </c>
    </row>
    <row r="102" ht="34.25" customHeight="1" s="33">
      <c r="A102" s="3" t="inlineStr">
        <is>
          <t>compute-reconfigure-unauthenticated</t>
        </is>
      </c>
      <c r="B102" s="3" t="inlineStr">
        <is>
          <t>L2</t>
        </is>
      </c>
      <c r="C102" s="3" t="inlineStr">
        <is>
          <t>ACTIVE</t>
        </is>
      </c>
      <c r="D102" s="3" t="inlineStr">
        <is>
          <t>scale-up</t>
        </is>
      </c>
      <c r="E102" s="3" t="inlineStr">
        <is>
          <t>afm</t>
        </is>
      </c>
      <c r="F102" s="3" t="inlineStr">
        <is>
          <t>afm-level2, afm-full, level2</t>
        </is>
      </c>
      <c r="G102" s="3" t="inlineStr">
        <is>
          <t>Verify Reconfigure returns 401 when called without authentication credentials.</t>
        </is>
      </c>
    </row>
    <row r="103" ht="34.25" customHeight="1" s="33">
      <c r="A103" s="2" t="inlineStr">
        <is>
          <t>compute-reconfigure-vpod-add</t>
        </is>
      </c>
      <c r="B103" s="2" t="inlineStr">
        <is>
          <t>L2</t>
        </is>
      </c>
      <c r="C103" s="2" t="inlineStr">
        <is>
          <t>ACTIVE</t>
        </is>
      </c>
      <c r="D103" s="2" t="inlineStr">
        <is>
          <t>scale-up</t>
        </is>
      </c>
      <c r="E103" s="2" t="inlineStr">
        <is>
          <t>afm</t>
        </is>
      </c>
      <c r="F103" s="2" t="inlineStr">
        <is>
          <t>afm-level2, afm-full, level2</t>
        </is>
      </c>
      <c r="G103" s="2" t="inlineStr">
        <is>
          <t>Reconfigure one compute, then add a second compute to the vPOD and verify both are healthy.</t>
        </is>
      </c>
    </row>
    <row r="104" ht="34.25" customHeight="1" s="33">
      <c r="A104" s="3" t="inlineStr">
        <is>
          <t>compute-reconfigure-vpod-remove</t>
        </is>
      </c>
      <c r="B104" s="3" t="inlineStr">
        <is>
          <t>L2</t>
        </is>
      </c>
      <c r="C104" s="3" t="inlineStr">
        <is>
          <t>ACTIVE</t>
        </is>
      </c>
      <c r="D104" s="3" t="inlineStr">
        <is>
          <t>scale-up</t>
        </is>
      </c>
      <c r="E104" s="3" t="inlineStr">
        <is>
          <t>afm</t>
        </is>
      </c>
      <c r="F104" s="3" t="inlineStr">
        <is>
          <t>afm-level2, afm-full, level2</t>
        </is>
      </c>
      <c r="G104" s="3" t="inlineStr">
        <is>
          <t>Reconfigure one compute, then remove a second compute from the vPOD and verify isolation.</t>
        </is>
      </c>
    </row>
    <row r="105" ht="34.25" customHeight="1" s="33">
      <c r="A105" s="2" t="inlineStr">
        <is>
          <t>ifoe-driver-load-unload</t>
        </is>
      </c>
      <c r="B105" s="2" t="inlineStr">
        <is>
          <t>L2</t>
        </is>
      </c>
      <c r="C105" s="2" t="inlineStr">
        <is>
          <t>ACTIVE</t>
        </is>
      </c>
      <c r="D105" s="2" t="inlineStr">
        <is>
          <t>scale-up</t>
        </is>
      </c>
      <c r="E105" s="2" t="inlineStr">
        <is>
          <t>afm</t>
        </is>
      </c>
      <c r="F105" s="2" t="inlineStr">
        <is>
          <t>afm-level2, afm-full, level2</t>
        </is>
      </c>
      <c r="G105" s="2" t="inlineStr">
        <is>
          <t>Validate that the IFoE kernel modules can be loaded and unloaded 5 times consecutively while the AFM-managed rack is live, without disrupting GPU health or fabric connectivity. TransferBench is used as a pre- and post-cycle baseline to confirm no regression in fabric bandwidth.</t>
        </is>
      </c>
    </row>
    <row r="106" ht="34.25" customHeight="1" s="33">
      <c r="A106" s="3" t="inlineStr">
        <is>
          <t>switch-sonic-upgrade</t>
        </is>
      </c>
      <c r="B106" s="3" t="inlineStr">
        <is>
          <t>L2</t>
        </is>
      </c>
      <c r="C106" s="3" t="inlineStr">
        <is>
          <t>ACTIVE</t>
        </is>
      </c>
      <c r="D106" s="3" t="inlineStr">
        <is>
          <t>scale-up</t>
        </is>
      </c>
      <c r="E106" s="3" t="inlineStr">
        <is>
          <t>afm</t>
        </is>
      </c>
      <c r="F106" s="3" t="inlineStr">
        <is>
          <t>afm-level2, afm-full, level2</t>
        </is>
      </c>
      <c r="G106" s="3" t="inlineStr">
        <is>
          <t>Validate SONiC OS upgrade on switch trays with AFM persistence. All switches are upgraded in parallel — SONiC image is installed and switches rebooted simultaneously, with expected cluster downtime during the reboot window. …</t>
        </is>
      </c>
    </row>
    <row r="107" ht="20" customHeight="1" s="33">
      <c r="A107" s="32" t="inlineStr">
        <is>
          <t>L3 Tests (13 tests)</t>
        </is>
      </c>
    </row>
    <row r="108" ht="34.25" customHeight="1" s="33">
      <c r="A108" s="3" t="inlineStr">
        <is>
          <t>compute-reconfigure-active-traffic</t>
        </is>
      </c>
      <c r="B108" s="3" t="inlineStr">
        <is>
          <t>L3</t>
        </is>
      </c>
      <c r="C108" s="3" t="inlineStr">
        <is>
          <t>ACTIVE</t>
        </is>
      </c>
      <c r="D108" s="3" t="inlineStr">
        <is>
          <t>scale-up</t>
        </is>
      </c>
      <c r="E108" s="3" t="inlineStr">
        <is>
          <t>afm</t>
        </is>
      </c>
      <c r="F108" s="3" t="inlineStr">
        <is>
          <t>(unassigned)</t>
        </is>
      </c>
      <c r="G108" s="3" t="inlineStr">
        <is>
          <t>Reconfigure a compute while a sustained GPU workload is running and verify the system recovers — traffic is expected to be disrupted on the reconfigured compute during the reconfigure window (~30s) but must resume after GPUs return to Ready.</t>
        </is>
      </c>
    </row>
    <row r="109" ht="34.25" customHeight="1" s="33">
      <c r="A109" s="2" t="inlineStr">
        <is>
          <t>compute-reconfigure-admission-race</t>
        </is>
      </c>
      <c r="B109" s="2" t="inlineStr">
        <is>
          <t>L3</t>
        </is>
      </c>
      <c r="C109" s="2" t="inlineStr">
        <is>
          <t>ACTIVE</t>
        </is>
      </c>
      <c r="D109" s="2" t="inlineStr">
        <is>
          <t>scale-up</t>
        </is>
      </c>
      <c r="E109" s="2" t="inlineStr">
        <is>
          <t>afm</t>
        </is>
      </c>
      <c r="F109" s="2" t="inlineStr">
        <is>
          <t>(unassigned)</t>
        </is>
      </c>
      <c r="G109" s="2" t="inlineStr">
        <is>
          <t>Attempt Reconfigure while a compute is still in the admission process and verify it is rejected until fully admitted.</t>
        </is>
      </c>
    </row>
    <row r="110" ht="34.25" customHeight="1" s="33">
      <c r="A110" s="3" t="inlineStr">
        <is>
          <t>compute-reconfigure-after-all-reset</t>
        </is>
      </c>
      <c r="B110" s="3" t="inlineStr">
        <is>
          <t>L3</t>
        </is>
      </c>
      <c r="C110" s="3" t="inlineStr">
        <is>
          <t>ACTIVE</t>
        </is>
      </c>
      <c r="D110" s="3" t="inlineStr">
        <is>
          <t>scale-up</t>
        </is>
      </c>
      <c r="E110" s="3" t="inlineStr">
        <is>
          <t>afm</t>
        </is>
      </c>
      <c r="F110" s="3" t="inlineStr">
        <is>
          <t>(unassigned)</t>
        </is>
      </c>
      <c r="G110" s="3" t="inlineStr">
        <is>
          <t>Reset all GPU accelerators on a compute, then reconfigure and verify full recovery.</t>
        </is>
      </c>
    </row>
    <row r="111" ht="34.25" customHeight="1" s="33">
      <c r="A111" s="2" t="inlineStr">
        <is>
          <t>compute-reconfigure-agent-down</t>
        </is>
      </c>
      <c r="B111" s="2" t="inlineStr">
        <is>
          <t>L3</t>
        </is>
      </c>
      <c r="C111" s="2" t="inlineStr">
        <is>
          <t>ACTIVE</t>
        </is>
      </c>
      <c r="D111" s="2" t="inlineStr">
        <is>
          <t>scale-up</t>
        </is>
      </c>
      <c r="E111" s="2" t="inlineStr">
        <is>
          <t>afm</t>
        </is>
      </c>
      <c r="F111" s="2" t="inlineStr">
        <is>
          <t>(unassigned)</t>
        </is>
      </c>
      <c r="G111" s="2" t="inlineStr">
        <is>
          <t>Verify that Reconfigure is rejected when the compute agent is down, and succeeds after agent restart.</t>
        </is>
      </c>
    </row>
    <row r="112" ht="34.25" customHeight="1" s="33">
      <c r="A112" s="3" t="inlineStr">
        <is>
          <t>compute-reconfigure-concurrent-reset</t>
        </is>
      </c>
      <c r="B112" s="3" t="inlineStr">
        <is>
          <t>L3</t>
        </is>
      </c>
      <c r="C112" s="3" t="inlineStr">
        <is>
          <t>ACTIVE</t>
        </is>
      </c>
      <c r="D112" s="3" t="inlineStr">
        <is>
          <t>scale-up</t>
        </is>
      </c>
      <c r="E112" s="3" t="inlineStr">
        <is>
          <t>afm</t>
        </is>
      </c>
      <c r="F112" s="3" t="inlineStr">
        <is>
          <t>(unassigned)</t>
        </is>
      </c>
      <c r="G112" s="3" t="inlineStr">
        <is>
          <t>Fire an afmctl device reset while a Reconfigure is in progress and verify eventual recovery.</t>
        </is>
      </c>
    </row>
    <row r="113" ht="34.25" customHeight="1" s="33">
      <c r="A113" s="2" t="inlineStr">
        <is>
          <t>compute-reconfigure-concurrent-same</t>
        </is>
      </c>
      <c r="B113" s="2" t="inlineStr">
        <is>
          <t>L3</t>
        </is>
      </c>
      <c r="C113" s="2" t="inlineStr">
        <is>
          <t>ACTIVE</t>
        </is>
      </c>
      <c r="D113" s="2" t="inlineStr">
        <is>
          <t>scale-up</t>
        </is>
      </c>
      <c r="E113" s="2" t="inlineStr">
        <is>
          <t>afm</t>
        </is>
      </c>
      <c r="F113" s="2" t="inlineStr">
        <is>
          <t>(unassigned)</t>
        </is>
      </c>
      <c r="G113" s="2" t="inlineStr">
        <is>
          <t>Fire two Reconfigure calls for the same compute concurrently and verify the system handles the race gracefully.</t>
        </is>
      </c>
    </row>
    <row r="114" ht="34.25" customHeight="1" s="33">
      <c r="A114" s="3" t="inlineStr">
        <is>
          <t>compute-reconfigure-configurationfailed-vpod</t>
        </is>
      </c>
      <c r="B114" s="3" t="inlineStr">
        <is>
          <t>L3</t>
        </is>
      </c>
      <c r="C114" s="3" t="inlineStr">
        <is>
          <t>ACTIVE</t>
        </is>
      </c>
      <c r="D114" s="3" t="inlineStr">
        <is>
          <t>scale-up</t>
        </is>
      </c>
      <c r="E114" s="3" t="inlineStr">
        <is>
          <t>afm</t>
        </is>
      </c>
      <c r="F114" s="3" t="inlineStr">
        <is>
          <t>(unassigned)</t>
        </is>
      </c>
      <c r="G114" s="3" t="inlineStr">
        <is>
          <t>Reconfigure a healthy compute while the vPOD is in ConfigurationFailed state due to another compute with agent down.</t>
        </is>
      </c>
    </row>
    <row r="115" ht="34.25" customHeight="1" s="33">
      <c r="A115" s="2" t="inlineStr">
        <is>
          <t>compute-reconfigure-controller-crash</t>
        </is>
      </c>
      <c r="B115" s="2" t="inlineStr">
        <is>
          <t>L3</t>
        </is>
      </c>
      <c r="C115" s="2" t="inlineStr">
        <is>
          <t>ACTIVE</t>
        </is>
      </c>
      <c r="D115" s="2" t="inlineStr">
        <is>
          <t>scale-up</t>
        </is>
      </c>
      <c r="E115" s="2" t="inlineStr">
        <is>
          <t>afm</t>
        </is>
      </c>
      <c r="F115" s="2" t="inlineStr">
        <is>
          <t>(unassigned)</t>
        </is>
      </c>
      <c r="G115" s="2" t="inlineStr">
        <is>
          <t>Crash the AFM controller while a Reconfigure is in progress and verify eventual cluster recovery.</t>
        </is>
      </c>
    </row>
    <row r="116" ht="34.25" customHeight="1" s="33">
      <c r="A116" s="3" t="inlineStr">
        <is>
          <t>compute-reconfigure-rapid-cycles</t>
        </is>
      </c>
      <c r="B116" s="3" t="inlineStr">
        <is>
          <t>L3</t>
        </is>
      </c>
      <c r="C116" s="3" t="inlineStr">
        <is>
          <t>ACTIVE</t>
        </is>
      </c>
      <c r="D116" s="3" t="inlineStr">
        <is>
          <t>scale-up</t>
        </is>
      </c>
      <c r="E116" s="3" t="inlineStr">
        <is>
          <t>afm</t>
        </is>
      </c>
      <c r="F116" s="3" t="inlineStr">
        <is>
          <t>(unassigned)</t>
        </is>
      </c>
      <c r="G116" s="3" t="inlineStr">
        <is>
          <t>Run 5 back-to-back Reconfigure cycles on a compute and verify no state drift or degradation.</t>
        </is>
      </c>
    </row>
    <row r="117" ht="34.25" customHeight="1" s="33">
      <c r="A117" s="2" t="inlineStr">
        <is>
          <t>compute-reconfigure-then-decommission</t>
        </is>
      </c>
      <c r="B117" s="2" t="inlineStr">
        <is>
          <t>L3</t>
        </is>
      </c>
      <c r="C117" s="2" t="inlineStr">
        <is>
          <t>ACTIVE</t>
        </is>
      </c>
      <c r="D117" s="2" t="inlineStr">
        <is>
          <t>scale-up</t>
        </is>
      </c>
      <c r="E117" s="2" t="inlineStr">
        <is>
          <t>afm</t>
        </is>
      </c>
      <c r="F117" s="2" t="inlineStr">
        <is>
          <t>(unassigned)</t>
        </is>
      </c>
      <c r="G117" s="2" t="inlineStr">
        <is>
          <t>Reconfigure a compute, then decommission it and verify remaining computes are unaffected.</t>
        </is>
      </c>
    </row>
    <row r="118" ht="34.25" customHeight="1" s="33">
      <c r="A118" s="3" t="inlineStr">
        <is>
          <t>compute-reconfigure-then-force-decommission</t>
        </is>
      </c>
      <c r="B118" s="3" t="inlineStr">
        <is>
          <t>L3</t>
        </is>
      </c>
      <c r="C118" s="3" t="inlineStr">
        <is>
          <t>ACTIVE</t>
        </is>
      </c>
      <c r="D118" s="3" t="inlineStr">
        <is>
          <t>scale-up</t>
        </is>
      </c>
      <c r="E118" s="3" t="inlineStr">
        <is>
          <t>afm</t>
        </is>
      </c>
      <c r="F118" s="3" t="inlineStr">
        <is>
          <t>(unassigned)</t>
        </is>
      </c>
      <c r="G118" s="3" t="inlineStr">
        <is>
          <t>Reconfigure a compute, then force-decommission it and verify remaining computes are unaffected.</t>
        </is>
      </c>
    </row>
    <row r="119" ht="34.25" customHeight="1" s="33">
      <c r="A119" s="2" t="inlineStr">
        <is>
          <t>compute-reconfigure-then-restart-agent</t>
        </is>
      </c>
      <c r="B119" s="2" t="inlineStr">
        <is>
          <t>L3</t>
        </is>
      </c>
      <c r="C119" s="2" t="inlineStr">
        <is>
          <t>ACTIVE</t>
        </is>
      </c>
      <c r="D119" s="2" t="inlineStr">
        <is>
          <t>scale-up</t>
        </is>
      </c>
      <c r="E119" s="2" t="inlineStr">
        <is>
          <t>afm</t>
        </is>
      </c>
      <c r="F119" s="2" t="inlineStr">
        <is>
          <t>(unassigned)</t>
        </is>
      </c>
      <c r="G119" s="2" t="inlineStr">
        <is>
          <t>Reconfigure a compute, then immediately restart the agent and verify re-admission and health.</t>
        </is>
      </c>
    </row>
    <row r="120" ht="34.25" customHeight="1" s="33">
      <c r="A120" s="3" t="inlineStr">
        <is>
          <t>compute-reconfigure-then-restart-controller</t>
        </is>
      </c>
      <c r="B120" s="3" t="inlineStr">
        <is>
          <t>L3</t>
        </is>
      </c>
      <c r="C120" s="3" t="inlineStr">
        <is>
          <t>ACTIVE</t>
        </is>
      </c>
      <c r="D120" s="3" t="inlineStr">
        <is>
          <t>scale-up</t>
        </is>
      </c>
      <c r="E120" s="3" t="inlineStr">
        <is>
          <t>afm</t>
        </is>
      </c>
      <c r="F120" s="3" t="inlineStr">
        <is>
          <t>(unassigned)</t>
        </is>
      </c>
      <c r="G120" s="3" t="inlineStr">
        <is>
          <t>Reconfigure a compute, then restart the AFM controller and verify cluster recovers cleanly.</t>
        </is>
      </c>
    </row>
  </sheetData>
  <mergeCells count="4">
    <mergeCell ref="A3:G3"/>
    <mergeCell ref="A107:G107"/>
    <mergeCell ref="A1:G1"/>
    <mergeCell ref="A34:G34"/>
  </mergeCells>
  <pageMargins left="0.75" right="0.75" top="1" bottom="1" header="0.5" footer="0.5"/>
  <headerFooter>
    <oddHeader>&amp;L&amp;"Aptos"&amp;1 &amp;K0000FF AMD General#_x000d_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M698"/>
  <sheetViews>
    <sheetView tabSelected="1" zoomScale="138" zoomScaleNormal="100" workbookViewId="0">
      <pane ySplit="2" topLeftCell="A122" activePane="bottomLeft" state="frozen"/>
      <selection pane="bottomLeft" activeCell="A147" sqref="A147"/>
    </sheetView>
  </sheetViews>
  <sheetFormatPr baseColWidth="10" defaultColWidth="8.83203125" defaultRowHeight="15"/>
  <cols>
    <col width="16" customWidth="1" style="5" min="1" max="1"/>
    <col width="9.33203125" customWidth="1" style="5" min="2" max="2"/>
    <col width="61" customWidth="1" style="5" min="3" max="3"/>
    <col width="28.83203125" customWidth="1" style="15" min="4" max="4"/>
    <col width="31.1640625" customWidth="1" style="18" min="5" max="5"/>
    <col width="47.6640625" bestFit="1" customWidth="1" style="18" min="6" max="6"/>
    <col width="51.33203125" customWidth="1" style="5" min="7" max="7"/>
    <col width="90" customWidth="1" style="33" min="8" max="8"/>
    <col width="42" customWidth="1" style="33" min="9" max="9"/>
    <col width="12" customWidth="1" style="33" min="10" max="10"/>
    <col width="30" customWidth="1" style="33" min="11" max="11"/>
    <col width="22" customWidth="1" style="33" min="12" max="12"/>
    <col width="16" customWidth="1" style="33" min="13" max="13"/>
  </cols>
  <sheetData>
    <row r="1" ht="15" customHeight="1" s="33">
      <c r="A1" s="19" t="inlineStr">
        <is>
          <t>BKC-26.12</t>
        </is>
      </c>
      <c r="C1" s="5" t="inlineStr">
        <is>
          <t>Amrish to help with the testplan</t>
        </is>
      </c>
    </row>
    <row r="2" ht="15" customHeight="1" s="33">
      <c r="A2" s="6" t="inlineStr">
        <is>
          <t>TID</t>
        </is>
      </c>
      <c r="B2" s="6" t="inlineStr">
        <is>
          <t>Level</t>
        </is>
      </c>
      <c r="C2" s="6" t="inlineStr">
        <is>
          <t>Title</t>
        </is>
      </c>
      <c r="D2" s="14" t="inlineStr">
        <is>
          <t>Automaton(Yes/No)</t>
        </is>
      </c>
      <c r="E2" s="17" t="inlineStr">
        <is>
          <t>AMD Help Needed? (yes/no)</t>
        </is>
      </c>
      <c r="F2" s="17" t="inlineStr">
        <is>
          <t>Execution Status (PASS/FAil/Pending/Depricaated)</t>
        </is>
      </c>
      <c r="G2" s="20" t="inlineStr">
        <is>
          <t>SW Version</t>
        </is>
      </c>
      <c r="H2" s="20" t="inlineStr">
        <is>
          <t>Execution Notes (g02-g17 full rack (6 sw / 17-18 CT), 10-12 Oct 2026)</t>
        </is>
      </c>
      <c r="I2" s="20" t="inlineStr">
        <is>
          <t>Access needed</t>
        </is>
      </c>
      <c r="J2" s="20" t="inlineStr">
        <is>
          <t>Scope</t>
        </is>
      </c>
      <c r="K2" s="20" t="inlineStr">
        <is>
          <t>Origin</t>
        </is>
      </c>
      <c r="L2" s="20" t="inlineStr">
        <is>
          <t>Disruptive</t>
        </is>
      </c>
      <c r="M2" s="20" t="inlineStr">
        <is>
          <t>Health check (tools/rack_health.py)</t>
        </is>
      </c>
    </row>
    <row r="3" hidden="1" ht="32" customHeight="1" s="33">
      <c r="A3" s="7" t="inlineStr">
        <is>
          <t>TC-AFM-001</t>
        </is>
      </c>
      <c r="B3" s="7" t="inlineStr">
        <is>
          <t>L1</t>
        </is>
      </c>
      <c r="C3" s="8" t="inlineStr">
        <is>
          <t>Compute Connectivity + L2 ping</t>
        </is>
      </c>
      <c r="D3" s="15" t="inlineStr">
        <is>
          <t>Yes</t>
        </is>
      </c>
      <c r="F3" t="inlineStr">
        <is>
          <t>FAIL</t>
        </is>
      </c>
      <c r="G3" t="inlineStr">
        <is>
          <t>SONiC.202505I20260915070938_x100.15; afm-agent/controller 202505I20260915070938_x100.15; ROCm 10.2.0a20260922</t>
        </is>
      </c>
      <c r="H3" s="21" t="inlineStr">
        <is>
          <t>[g02-g17 full rack, rack health check: test started 2026-10-16 13:30 UTC, failing ping 13:37:10 UTC (run g02-g17-20261016-135436), health result g02-g17-20261016-135436-merged] FAIL: within CT03, GPU 0004:01:00.1 (acc 11) -&gt; acc 8: two of afmctl's checks failed on two neighbouring ports - port 25 the non-IFoE ping, port 26 the IFoE request. afmctl summary: IFoE request 35/36 (1 fail, 2.78%), IFoE response 36/36, non-IFoE 35/36 (1 fail, 2.78%). Test message (as in both report tabs): "[within] ct03/0004:01:00.1 (acc 11) -&gt; ct03 acc 8: 1/36 port(s) failed ['25', '26']" - its 1/36 is the IFoE-request count only; from the next run the message lists all three checks and the failed checks per port, and a failure of any check fails the test (before, only the IFoE request count did). Related, outside the health check: the pre-traffic probe pings of 16 Oct failed on CT11 acc 40 port 28 all three checks (13:45 UTC), CT18 acc 69 port 2 all three checks + port 3 IFoE request (13:46), CT04 acc 13 port 17 IFoE response + non-IFoE, port 18 IFoE request (13:52), CT01 acc 1 port 23 IFoE response + non-IFoE, port 24 IFoE request (14:12); the full afmctl output of every failed ping is kept (ping_evidence) and was sent to AMD 16 Oct.
Earlier: [g02-g17 full rack, L1 rerun with sudo, 14 Oct 2026 15:11-15:35 UTC, helios-tests g02-g17-20261014-153550] FAIL. L2 ping (afmctl, ring) on 15 trays: cross-tray port loss CT06-&gt;CT07 (ports 31,32), CT07-&gt;CT08 (port 31), CT14-&gt;CT15 (port 10), CT15-&gt;CT16 (port 10). The pre-flight ping probe also found intermittent black-holed ports that changed between checks (CT06 ports 2/3, CT17 ports 0/1; CT18 ports 29/30 earlier). Pre-flight excluded: CT02/CT05 down (no SSH, BMC up); CT01 GPUs in use by another team's job (/user/hpe/dtm/mlperf-poc ... gpu-flops).
Earlier: [g02-g17 full rack, L1, 14 Oct 2026, helios-tests g02-g17-20261014-143740 + pre-flight 134911] L2 ping (afmctl, ring): PASS on 15 trays. FAIL overall: the pre-flight L2 ping probe on CT18 found GPU 0003:01:00.1 -&gt; acc 71: 2/36 ports black-holed (ports 29, 30). Run 13:49-14:37 UTC from the jump host on 15 trays: CT02/CT05 down (no ping, BMC up); CT18 excluded (black-holed ports, see TC-AFM-001). Root cause of the GPU errors: the test account tenant-hpe is not in the 'render' group, so it cannot open /dev/kfd (amd-smi: permission denied) - rerun with sudo (commands.datapath.sudo) or after adding the account to 'render'. Another HPE workload (palsd, /var/tmp/HPE sc framework) was also running.
Earlier: Partial evidence (12 Oct, S8 UALink sysfs): 72/72 accelerators active, vpod_id=1 and correct local_accels on all 18 trays. afmctl L2 ping was not part of that run, so status not set.</t>
        </is>
      </c>
      <c r="I3" s="21" t="inlineStr">
        <is>
          <t>Compute SSH + datapath traffic</t>
        </is>
      </c>
      <c r="J3" s="21" t="inlineStr">
        <is>
          <t>Compute</t>
        </is>
      </c>
      <c r="K3" s="21" t="inlineStr">
        <is>
          <t>BKC-26.12 plan</t>
        </is>
      </c>
      <c r="L3" s="21" t="inlineStr">
        <is>
          <t>Non-disruptive</t>
        </is>
      </c>
      <c r="M3" s="21" t="inlineStr">
        <is>
          <t>Blocker</t>
        </is>
      </c>
    </row>
    <row r="4" hidden="1" ht="32" customHeight="1" s="33">
      <c r="A4" s="7" t="inlineStr">
        <is>
          <t>TC-AFM-002</t>
        </is>
      </c>
      <c r="B4" s="7" t="inlineStr">
        <is>
          <t>L1</t>
        </is>
      </c>
      <c r="C4" s="8" t="inlineStr">
        <is>
          <t>TransferBench In-Domain</t>
        </is>
      </c>
      <c r="D4" s="15" t="inlineStr">
        <is>
          <t>Yes</t>
        </is>
      </c>
      <c r="F4" t="inlineStr">
        <is>
          <t>PARTIAL</t>
        </is>
      </c>
      <c r="G4" t="inlineStr">
        <is>
          <t>SONiC.202505I20260915070938_x100.15; afm-agent/controller 202505I20260915070938_x100.15; ROCm 10.2.0a20260922</t>
        </is>
      </c>
      <c r="H4" s="21" t="inlineStr">
        <is>
          <t>[g02-g17 full rack, 16 Oct 14:03 UTC, helios-tests g02-g17-20261016-141453] PARTIAL: passed on every reachable tray (17; CT05 unreachable): TransferBench a2a 1G 192.3-195.4 GB/s per tray. TransferBench /opt/TransferBench/TransferBench (16 Oct: /usr/sbin/TransferBench -&gt; /opt/amdtools/transferbench/TransferBench segfaults at start, rc 139, and the link is missing on CT08/09/11-16).
Earlier: [g02-g17 full rack, L1 rerun with sudo, 14 Oct 2026 15:11-15:35 UTC, helios-tests g02-g17-20261014-153550] Pending (environment). The installed TransferBench (/usr/sbin/TransferBench) segfaults immediately (exit 139) on CT03 even for its own 'smoketest'; every tray that has it failed the same way (rc -1 / malloc crash on CT17). Not installed on CT08, CT09, CT11-CT16. Not a fabric verdict - needs a working TransferBench build (12 Oct used v1.70.02 built separately). Pre-flight excluded: CT02/CT05 down (no SSH, BMC up); CT01 GPUs in use by another team's job (/user/hpe/dtm/mlperf-poc ... gpu-flops).
Earlier: [g02-g17 full rack, L1, 14 Oct 2026, helios-tests g02-g17-20261014-143740 + pre-flight 134911] TransferBench a2a 1G per tray: no tray passed. TransferBench not installed on CT08, CT09, CT11-CT14, CT16 (command not found); 'malloc(): unaligned tcache chunk detected' on CT03, CT04, CT06, CT07 and no output on CT01, CT10 (likely the GPU permission problem). Environment, not a fabric verdict. Run 13:49-14:37 UTC from the jump host on 15 trays: CT02/CT05 down (no ping, BMC up); CT18 excluded (black-holed ports, see TC-AFM-001). Root cause of the GPU errors: the test account tenant-hpe is not in the 'render' group, so it cannot open /dev/kfd (amd-smi: permission denied) - rerun with sudo (commands.datapath.sudo) or after adding the account to 'render'. Another HPE workload (palsd, /var/tmp/HPE sc framework) was also running.
Earlier: 12 Oct traffic validation T1: TransferBench v1.70.02 (b82b036) smoketest on every tray, 4 GPUs each; PASS 18/18 trays ('All tests passed', exit 0).</t>
        </is>
      </c>
      <c r="I4" s="21" t="inlineStr">
        <is>
          <t>Compute SSH + datapath traffic</t>
        </is>
      </c>
      <c r="J4" s="21" t="inlineStr">
        <is>
          <t>Compute</t>
        </is>
      </c>
      <c r="K4" s="21" t="inlineStr">
        <is>
          <t>BKC-26.12 plan</t>
        </is>
      </c>
      <c r="L4" s="21" t="inlineStr">
        <is>
          <t>Non-disruptive</t>
        </is>
      </c>
    </row>
    <row r="5" hidden="1" ht="32" customHeight="1" s="33">
      <c r="A5" s="7" t="inlineStr">
        <is>
          <t>TC-AFM-003</t>
        </is>
      </c>
      <c r="B5" s="7" t="inlineStr">
        <is>
          <t>L1</t>
        </is>
      </c>
      <c r="C5" s="8" t="inlineStr">
        <is>
          <t>TransferBench Cross-Domain</t>
        </is>
      </c>
      <c r="D5" s="15" t="inlineStr">
        <is>
          <t>Yes</t>
        </is>
      </c>
      <c r="F5" t="inlineStr">
        <is>
          <t>PARTIAL</t>
        </is>
      </c>
      <c r="G5" t="inlineStr">
        <is>
          <t>SONiC.202505I20260915070938_x100.15; afm-agent/controller 202505I20260915070938_x100.15; ROCm 10.2.0a20260922</t>
        </is>
      </c>
      <c r="H5" s="21" t="inlineStr">
        <is>
          <t>[g02-g17 full rack, 16 Oct 14:06 UTC, helios-tests g02-g17-20261016-141453] PARTIAL: passed on all 34 ring pairs (both directions) of the 17 reachable trays (CT05 unreachable): 381.0-389.9 GB/s. TransferBench /opt/TransferBench/TransferBench (16 Oct: /usr/sbin/TransferBench -&gt; /opt/amdtools/transferbench/TransferBench segfaults at start, rc 139, and the link is missing on CT08/09/11-16).
Earlier: [g02-g17 full rack, L1 rerun with sudo, 14 Oct 2026 15:11-15:35 UTC, helios-tests g02-g17-20261014-153550] Pending (environment). Same TransferBench segfault; with the new early abort each failed pair now stops at once (run 24 min instead of 48). Pre-flight excluded: CT02/CT05 down (no SSH, BMC up); CT01 GPUs in use by another team's job (/user/hpe/dtm/mlperf-poc ... gpu-flops).
Earlier: [g02-g17 full rack, L1, 14 Oct 2026, helios-tests g02-g17-20261014-143740 + pre-flight 134911] TransferBench cross-domain (2 ranks per tray pair, ring): every pair failed - TransferBench missing on CT08+, malloc crash, worker ranks on CT06/CT07 could not resolve the master name (.enclave-d: Name or service not known), the rest timed out at 300 s. Run 13:49-14:37 UTC from the jump host on 15 trays: CT02/CT05 down (no ping, BMC up); CT18 excluded (black-holed ports, see TC-AFM-001). Root cause of the GPU errors: the test account tenant-hpe is not in the 'render' group, so it cannot open /dev/kfd (amd-smi: permission denied) - rerun with sudo (commands.datapath.sudo) or after adding the account to 'render'. Another HPE workload (palsd, /var/tmp/HPE sc framework) was also running.
Earlier: 12 Oct traffic validation T2: LaunchTransferBench.sh smoketest from CT01 across 18 trays / 72 GPUs (18 ranks, H2D/D2H/D2D remote write+read); all transfers passed, exit 0.</t>
        </is>
      </c>
      <c r="I5" s="21" t="inlineStr">
        <is>
          <t>Compute SSH + datapath traffic</t>
        </is>
      </c>
      <c r="J5" s="21" t="inlineStr">
        <is>
          <t>Compute</t>
        </is>
      </c>
      <c r="K5" s="21" t="inlineStr">
        <is>
          <t>BKC-26.12 plan</t>
        </is>
      </c>
      <c r="L5" s="21" t="inlineStr">
        <is>
          <t>Non-disruptive</t>
        </is>
      </c>
    </row>
    <row r="6" hidden="1" ht="32" customHeight="1" s="33">
      <c r="A6" s="7" t="inlineStr">
        <is>
          <t>TC-AFM-004</t>
        </is>
      </c>
      <c r="B6" s="7" t="inlineStr">
        <is>
          <t>L1</t>
        </is>
      </c>
      <c r="C6" s="8" t="inlineStr">
        <is>
          <t>RCCL In Domain</t>
        </is>
      </c>
      <c r="D6" s="15" t="inlineStr">
        <is>
          <t>Yes</t>
        </is>
      </c>
      <c r="F6" t="inlineStr">
        <is>
          <t>Pending</t>
        </is>
      </c>
      <c r="G6" t="inlineStr">
        <is>
          <t>SONiC.202505I20260915070938_x100.15; afm-agent/controller 202505I20260915070938_x100.15; ROCm 10.2.0a20260922</t>
        </is>
      </c>
      <c r="H6" s="21" t="inlineStr">
        <is>
          <t>[g02-g17 full rack, 16 Oct 13:46 UTC, helios-tests g02-g17-20261016-135436] Pending: rccl-tests (*_perf) is not installed on any tray (checked 16 Oct); the trays have RcclSmokeTest and rccl-sweep in /opt/helicop/utils. AMD says RCCL works - asked which tool.
Earlier: [g02-g17 full rack, L1 rerun with sudo, 14 Oct 2026 15:11-15:35 UTC, helios-tests g02-g17-20261014-153550] Pending: rccl-tests (*_perf) not installed. Evidence: RcclSmokeTest per tray WITH sudo PASSED on 14 of 16 trays; CT15 and CT17 report 'no ROCm-capable device'. Pre-flight excluded: CT02/CT05 down (no SSH, BMC up); CT01 GPUs in use by another team's job (/user/hpe/dtm/mlperf-poc ... gpu-flops).
Earlier: [g02-g17 full rack, L1, 14 Oct 2026, helios-tests g02-g17-20261014-143740 + pre-flight 134911] Not run: rccl-tests (*_perf) is not installed on the trays. Evidence run RcclSmokeTest (/opt/helicop/utils/RcclSmokeTest) per tray FAILED: 'no ROCm-capable device is detected' on 13 trays - the account cannot open the GPUs (not in 'render'). Run 13:49-14:37 UTC from the jump host on 15 trays: CT02/CT05 down (no ping, BMC up); CT18 excluded (black-holed ports, see TC-AFM-001). Root cause of the GPU errors: the test account tenant-hpe is not in the 'render' group, so it cannot open /dev/kfd (amd-smi: permission denied) - rerun with sudo (commands.datapath.sudo) or after adding the account to 'render'. Another HPE workload (palsd, /var/tmp/HPE sc framework) was also running.
Earlier: 12 Oct traffic validation T3: RcclSmokeTest v1.0.0 (d03571d), 7 collectives x 1 KB/4 MB/1 GB per tray; PASS 18/18 trays (21/21 cells each). Needs NCCL_IB_DISABLE=1 NCCL_CUMEM_ENABLE=0.</t>
        </is>
      </c>
      <c r="I6" s="21" t="inlineStr">
        <is>
          <t>Compute SSH + datapath traffic</t>
        </is>
      </c>
      <c r="J6" s="21" t="inlineStr">
        <is>
          <t>Compute</t>
        </is>
      </c>
      <c r="K6" s="21" t="inlineStr">
        <is>
          <t>BKC-26.12 plan</t>
        </is>
      </c>
      <c r="L6" s="21" t="inlineStr">
        <is>
          <t>Non-disruptive</t>
        </is>
      </c>
    </row>
    <row r="7" hidden="1" ht="32" customHeight="1" s="33">
      <c r="A7" s="7" t="inlineStr">
        <is>
          <t>TC-AFM-005</t>
        </is>
      </c>
      <c r="B7" s="7" t="inlineStr">
        <is>
          <t>L1</t>
        </is>
      </c>
      <c r="C7" s="8" t="inlineStr">
        <is>
          <t>RCCL Cross Domain</t>
        </is>
      </c>
      <c r="D7" s="15" t="inlineStr">
        <is>
          <t>Yes</t>
        </is>
      </c>
      <c r="F7" t="inlineStr">
        <is>
          <t>Pending</t>
        </is>
      </c>
      <c r="G7" t="inlineStr">
        <is>
          <t>SONiC.202505I20260915070938_x100.15; afm-agent/controller 202505I20260915070938_x100.15; ROCm 10.2.0a20260922</t>
        </is>
      </c>
      <c r="H7" s="21" t="inlineStr">
        <is>
          <t>[g02-g17 full rack, 16 Oct 13:48 UTC, helios-tests g02-g17-20261016-135436] Pending: rccl-tests not installed on any tray and no cross-domain launch configured; AMD reports the cross-domain RCCL smoke test passing - asked for their command.
Earlier: [g02-g17 full rack, L1 rerun with sudo, 14 Oct 2026 15:11-15:35 UTC, helios-tests g02-g17-20261014-153550] Pending: rccl-tests not installed / no cross-domain launch configured. Evidence: RcclSmokeTest multi-node failed because CT15 could not open its GPUs (the other ranks were stopped at once). Pre-flight excluded: CT02/CT05 down (no SSH, BMC up); CT01 GPUs in use by another team's job (/user/hpe/dtm/mlperf-poc ... gpu-flops).
Earlier: [g02-g17 full rack, L1, 14 Oct 2026, helios-tests g02-g17-20261014-143740 + pre-flight 134911] Not run: rccl-tests not installed and commands.rccl.cross_domain not set. Evidence RcclSmokeTest multi-node FAILED: 'invalid argument' (ranks on CT01) and 'no ROCm-capable device' (CT03+), same GPU permission cause. Run 13:49-14:37 UTC from the jump host on 15 trays: CT02/CT05 down (no ping, BMC up); CT18 excluded (black-holed ports, see TC-AFM-001). Root cause of the GPU errors: the test account tenant-hpe is not in the 'render' group, so it cannot open /dev/kfd (amd-smi: permission denied) - rerun with sudo (commands.datapath.sudo) or after adding the account to 'render'. Another HPE workload (palsd, /var/tmp/HPE sc framework) was also running.
Earlier: 12 Oct traffic validation T4: RcclSmokeTest across 18 trays / 72 ranks from CT01; 21/21 cells incl. 1 GB, all processes exited cleanly, exit 0.</t>
        </is>
      </c>
      <c r="I7" s="21" t="inlineStr">
        <is>
          <t>Compute SSH + datapath traffic</t>
        </is>
      </c>
      <c r="J7" s="21" t="inlineStr">
        <is>
          <t>Compute</t>
        </is>
      </c>
      <c r="K7" s="21" t="inlineStr">
        <is>
          <t>BKC-26.12 plan</t>
        </is>
      </c>
      <c r="L7" s="21" t="inlineStr">
        <is>
          <t>Non-disruptive</t>
        </is>
      </c>
    </row>
    <row r="8" hidden="1" ht="16" customHeight="1" s="33">
      <c r="A8" s="7" t="inlineStr">
        <is>
          <t>TC-AFM-005</t>
        </is>
      </c>
      <c r="B8" s="7" t="inlineStr">
        <is>
          <t>L2</t>
        </is>
      </c>
      <c r="C8" s="8" t="inlineStr">
        <is>
          <t>Failover Policy CRUD</t>
        </is>
      </c>
      <c r="D8" t="inlineStr">
        <is>
          <t>Yes</t>
        </is>
      </c>
      <c r="F8" t="inlineStr">
        <is>
          <t>PASS</t>
        </is>
      </c>
      <c r="G8" t="inlineStr">
        <is>
          <t>SONiC.202505I20260915070938_x100.15; afm-agent/controller 202505I20260915070938_x100.15</t>
        </is>
      </c>
      <c r="H8" s="21" t="inlineStr">
        <is>
          <t>[g02-g17 full rack, non-disruptive switch + AFM API, 14 Oct 2026] 1 item(s) passed (helios-tests fullrack-switch-nd-filtered, g02-g17-20261014-092828, g02-g17-20261014-170350, g02-g17-20261014-170910)
Earlier: Failover policy CRUD: create manual/10, read, update to 15, delete -&gt; 404.</t>
        </is>
      </c>
      <c r="I8" s="21" t="inlineStr">
        <is>
          <t>AFM API</t>
        </is>
      </c>
      <c r="J8" s="21" t="inlineStr">
        <is>
          <t>Switch (AFM API)</t>
        </is>
      </c>
      <c r="K8" s="21" t="inlineStr">
        <is>
          <t>BKC-26.12 plan</t>
        </is>
      </c>
      <c r="L8" s="21" t="inlineStr">
        <is>
          <t>Non-disruptive</t>
        </is>
      </c>
    </row>
    <row r="9" hidden="1" ht="32" customHeight="1" s="33">
      <c r="A9" s="7" t="inlineStr">
        <is>
          <t>TC-AFM-006</t>
        </is>
      </c>
      <c r="B9" s="7" t="inlineStr">
        <is>
          <t>L2</t>
        </is>
      </c>
      <c r="C9" s="8" t="inlineStr">
        <is>
          <t>Compute Agent Restart</t>
        </is>
      </c>
      <c r="D9" t="inlineStr">
        <is>
          <t>Yes</t>
        </is>
      </c>
      <c r="G9" t="inlineStr">
        <is>
          <t>AFM 0.1.0-AICC-817</t>
        </is>
      </c>
      <c r="H9" s="21" t="inlineStr">
        <is>
          <t>PASS on 3rd run. Runs 1-2 failed on TC script: pgrep self-matched (--pid=host) and the slot-0 sb-node-agent re-homed between switches (.49-&gt;.46-&gt;.50) after afm-agent restart; fixed by locating the slot host on every poll.</t>
        </is>
      </c>
      <c r="I9" s="21" t="inlineStr">
        <is>
          <t>AFM API + switch SSH</t>
        </is>
      </c>
      <c r="J9" s="21" t="inlineStr">
        <is>
          <t>Switch + Compute</t>
        </is>
      </c>
      <c r="K9" s="21" t="inlineStr">
        <is>
          <t>BKC-26.12 plan</t>
        </is>
      </c>
      <c r="L9" s="21" t="inlineStr">
        <is>
          <t>Disruptive</t>
        </is>
      </c>
    </row>
    <row r="10" hidden="1" ht="32" customHeight="1" s="33">
      <c r="A10" s="7" t="inlineStr">
        <is>
          <t>TC-AFM-007</t>
        </is>
      </c>
      <c r="B10" s="7" t="inlineStr">
        <is>
          <t>L2</t>
        </is>
      </c>
      <c r="C10" s="8" t="inlineStr">
        <is>
          <t>Compute Agent Stop And Health</t>
        </is>
      </c>
      <c r="D10" t="inlineStr">
        <is>
          <t>Yes</t>
        </is>
      </c>
      <c r="F10" t="inlineStr">
        <is>
          <t>PARTIAL</t>
        </is>
      </c>
      <c r="G10" t="inlineStr">
        <is>
          <t>AFM 0.1.0-AICC-817</t>
        </is>
      </c>
      <c r="H10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kill -STOP/-CONT of sb-node-agent; compute went unknown in ~323s, computenode_healthy event after resume. Note: runner clock ~6m37s behind switches made the request-age check vacuous.</t>
        </is>
      </c>
      <c r="I10" s="21" t="inlineStr">
        <is>
          <t>AFM API + switch SSH</t>
        </is>
      </c>
      <c r="J10" s="21" t="inlineStr">
        <is>
          <t>Switch</t>
        </is>
      </c>
      <c r="K10" s="21" t="inlineStr">
        <is>
          <t>BKC-26.12 plan</t>
        </is>
      </c>
      <c r="L10" s="21" t="inlineStr">
        <is>
          <t>Disruptive</t>
        </is>
      </c>
    </row>
    <row r="11" hidden="1" ht="32" customHeight="1" s="33">
      <c r="A11" s="7" t="inlineStr">
        <is>
          <t>TC-AFM-008</t>
        </is>
      </c>
      <c r="B11" s="7" t="inlineStr">
        <is>
          <t>L2</t>
        </is>
      </c>
      <c r="C11" s="8" t="inlineStr">
        <is>
          <t>[Link] Management-network flap (compute) - the compute stays healthy in AFM while its management link flaps</t>
        </is>
      </c>
      <c r="D11" t="inlineStr">
        <is>
          <t>Yes</t>
        </is>
      </c>
      <c r="I11" s="21" t="inlineStr">
        <is>
          <t>out-of-band mgmt network control + AFM API + switch + compute SSH</t>
        </is>
      </c>
      <c r="J11" s="21" t="inlineStr">
        <is>
          <t>Switch + Compute</t>
        </is>
      </c>
      <c r="K11" s="21" t="inlineStr">
        <is>
          <t>BKC-26.12 plan</t>
        </is>
      </c>
      <c r="L11" t="inlineStr">
        <is>
          <t>Disruptive</t>
        </is>
      </c>
    </row>
    <row r="12" hidden="1" ht="16" customHeight="1" s="33">
      <c r="A12" s="7" t="inlineStr">
        <is>
          <t>TC-AFM-009</t>
        </is>
      </c>
      <c r="B12" s="7" t="inlineStr">
        <is>
          <t>L2</t>
        </is>
      </c>
      <c r="C12" s="8" t="inlineStr">
        <is>
          <t>[Link] Link flap (compute side) - a GPU port flapped on the tray is marked failed by AFM and recovers</t>
        </is>
      </c>
      <c r="D12" s="15" t="inlineStr">
        <is>
          <t>Yes</t>
        </is>
      </c>
      <c r="I12" s="21" t="inlineStr">
        <is>
          <t>AFM API + compute SSH</t>
        </is>
      </c>
      <c r="J12" s="21" t="inlineStr">
        <is>
          <t>Compute</t>
        </is>
      </c>
      <c r="K12" s="21" t="inlineStr">
        <is>
          <t>BKC-26.12 plan</t>
        </is>
      </c>
      <c r="L12" t="inlineStr">
        <is>
          <t>Disruptive</t>
        </is>
      </c>
    </row>
    <row r="13" hidden="1" ht="16" customHeight="1" s="33">
      <c r="A13" s="7" t="inlineStr">
        <is>
          <t>TC-AFM-010</t>
        </is>
      </c>
      <c r="B13" s="7" t="inlineStr">
        <is>
          <t>L2</t>
        </is>
      </c>
      <c r="C13" s="8" t="inlineStr">
        <is>
          <t>vPod CRUD</t>
        </is>
      </c>
      <c r="D13" s="15" t="inlineStr">
        <is>
          <t>Yes</t>
        </is>
      </c>
      <c r="E13" s="15" t="n"/>
      <c r="F13" t="inlineStr">
        <is>
          <t>PARTIAL</t>
        </is>
      </c>
      <c r="G13" t="inlineStr">
        <is>
          <t>AFM 0.1.0-AICC-817</t>
        </is>
      </c>
      <c r="H1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vPOD CRUD + afmctl L2 ping 16/16 pairs OK on 36 ports. Mgmt-link flap steps skipped per operator policy.</t>
        </is>
      </c>
      <c r="I13" s="22" t="inlineStr">
        <is>
          <t>AFM API (disruptive)</t>
        </is>
      </c>
      <c r="J13" s="22" t="inlineStr">
        <is>
          <t>Switch (AFM API)</t>
        </is>
      </c>
      <c r="K13" s="22" t="inlineStr">
        <is>
          <t>BKC-26.12 plan</t>
        </is>
      </c>
      <c r="L13" s="22" t="inlineStr">
        <is>
          <t>Disruptive</t>
        </is>
      </c>
    </row>
    <row r="14" hidden="1" ht="32" customHeight="1" s="33">
      <c r="A14" s="7" t="inlineStr">
        <is>
          <t>TC-AFM-011</t>
        </is>
      </c>
      <c r="B14" s="7" t="inlineStr">
        <is>
          <t>L2</t>
        </is>
      </c>
      <c r="C14" s="8" t="inlineStr">
        <is>
          <t>[Link] Link flap (switch, one ASIC) - a fabric port flapped on one ASIC is detected and recovers; planes restored</t>
        </is>
      </c>
      <c r="D14" s="15" t="inlineStr">
        <is>
          <t>Yes</t>
        </is>
      </c>
      <c r="E14" s="15" t="n"/>
      <c r="F14" t="inlineStr">
        <is>
          <t>PARTIAL</t>
        </is>
      </c>
      <c r="G14" t="inlineStr">
        <is>
          <t>AFM 0.1.0-AICC-817</t>
        </is>
      </c>
      <c r="H14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rerun. 1st run: steps passed but vPOD went configurationfailed ~9 min after the flap (sb-node-agent rebalance churn, reevaluate_streams) and self-recovered.</t>
        </is>
      </c>
      <c r="I14" s="22" t="inlineStr">
        <is>
          <t>AFM API + switch SSH</t>
        </is>
      </c>
      <c r="J14" s="22" t="inlineStr">
        <is>
          <t>Switch</t>
        </is>
      </c>
      <c r="K14" s="22" t="inlineStr">
        <is>
          <t>BKC-26.12 plan</t>
        </is>
      </c>
      <c r="L14" s="22" t="inlineStr">
        <is>
          <t>Disruptive</t>
        </is>
      </c>
    </row>
    <row r="15" hidden="1" ht="32" customHeight="1" s="33">
      <c r="A15" s="7" t="inlineStr">
        <is>
          <t>TC-AFM-012</t>
        </is>
      </c>
      <c r="B15" s="7" t="inlineStr">
        <is>
          <t>L2</t>
        </is>
      </c>
      <c r="C15" s="8" t="inlineStr">
        <is>
          <t>[Link] Link down, prolonged (switch, one ASIC) - a fabric port held down on one ASIC: port failed, vPOD reconfigured, recovered after restore</t>
        </is>
      </c>
      <c r="D15" t="inlineStr">
        <is>
          <t>Yes</t>
        </is>
      </c>
      <c r="F15" t="inlineStr">
        <is>
          <t>PARTIAL</t>
        </is>
      </c>
      <c r="G15" t="inlineStr">
        <is>
          <t>AFM 0.1.0-AICC-817</t>
        </is>
      </c>
      <c r="H1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Coupled switch ports: shutting one port also drops a neighbour (.48 Eth243/Eth251; .50 Eth170 -&gt; Eth162 7 ms later, transceiver 'Not present'); available planes not restored to baseline. Evidence + AFM techsupport collected.</t>
        </is>
      </c>
      <c r="I15" s="21" t="inlineStr">
        <is>
          <t>AFM API + switch SSH</t>
        </is>
      </c>
      <c r="J15" s="21" t="inlineStr">
        <is>
          <t>Switch</t>
        </is>
      </c>
      <c r="K15" s="21" t="inlineStr">
        <is>
          <t>BKC-26.12 plan</t>
        </is>
      </c>
      <c r="L15" s="21" t="inlineStr">
        <is>
          <t>Disruptive</t>
        </is>
      </c>
    </row>
    <row r="16" hidden="1" ht="16" customHeight="1" s="33">
      <c r="A16" s="7" t="inlineStr">
        <is>
          <t>TC-AFM-013</t>
        </is>
      </c>
      <c r="B16" s="7" t="inlineStr">
        <is>
          <t>L2</t>
        </is>
      </c>
      <c r="C16" s="8" t="inlineStr">
        <is>
          <t>[Link] Link flap (switch, both ASICs) - one fabric port flapped on each ASIC is detected and recovers; planes restored</t>
        </is>
      </c>
      <c r="D16" s="15" t="inlineStr">
        <is>
          <t>Yes</t>
        </is>
      </c>
      <c r="E16" s="15" t="n"/>
      <c r="F16" t="inlineStr">
        <is>
          <t>FAIL</t>
        </is>
      </c>
      <c r="G16" t="inlineStr">
        <is>
          <t>AFM 0.1.0-AICC-817</t>
        </is>
      </c>
      <c r="H16" s="21" t="inlineStr">
        <is>
          <t>[g02-g17 link scan, 18 Oct 2026 16:17 and 16:26 UTC, helios-debug tools/link_check.py scan with the switch ASIC's Broadcom view per lane (read-only); results/link-check/g02-g17/scan-20261018-161735, -162653] Ethernet261 (coupled to 257, flapped by this case) still down: the switch receives no signal on either lane while it transmits; Ethernet257 (down since our 08:57 recovery flap of 261) has lane 0 dark. st6 257/261 are now in avoid_ports and the link tests no longer re-flap a port that stays down.
Earlier: [g02-g17 disruptive switch/AFM, 17-18 Oct 2026] by node: - 2; after the flap [('asic1', 'Ethernet261')] stayed down (coupled ports?); pod-1.system planes (36, 33, 33) / degraded after the link came back: baseline (36, 34, 34) not restored within 900s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(rerun). Note: step 4 can pass before AFM reacts; post-check confirmed recovery.</t>
        </is>
      </c>
      <c r="I16" s="22" t="inlineStr">
        <is>
          <t>AFM API + switch SSH</t>
        </is>
      </c>
      <c r="J16" s="22" t="inlineStr">
        <is>
          <t>Switch</t>
        </is>
      </c>
      <c r="K16" s="22" t="inlineStr">
        <is>
          <t>BKC-26.12 plan</t>
        </is>
      </c>
      <c r="L16" s="22" t="inlineStr">
        <is>
          <t>Disruptive</t>
        </is>
      </c>
    </row>
    <row r="17" hidden="1" ht="16" customHeight="1" s="33">
      <c r="A17" s="7" t="inlineStr">
        <is>
          <t>TC-AFM-014</t>
        </is>
      </c>
      <c r="B17" s="7" t="inlineStr">
        <is>
          <t>L2</t>
        </is>
      </c>
      <c r="C17" s="8" t="inlineStr">
        <is>
          <t>[Link] Link down, prolonged (switch, both ASICs) - one fabric port held down on each ASIC: vPOD reconfigured, recovered after restore</t>
        </is>
      </c>
      <c r="D17" t="inlineStr">
        <is>
          <t>Yes</t>
        </is>
      </c>
      <c r="F17" t="inlineStr">
        <is>
          <t>PARTIAL</t>
        </is>
      </c>
      <c r="G17" t="inlineStr">
        <is>
          <t>AFM 0.1.0-AICC-817</t>
        </is>
      </c>
      <c r="H17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Both-ASIC prolonged down: planes 32-&gt;30-&gt;32.</t>
        </is>
      </c>
      <c r="I17" s="21" t="inlineStr">
        <is>
          <t>AFM API + switch SSH</t>
        </is>
      </c>
      <c r="J17" s="21" t="inlineStr">
        <is>
          <t>Switch</t>
        </is>
      </c>
      <c r="K17" s="21" t="inlineStr">
        <is>
          <t>BKC-26.12 plan</t>
        </is>
      </c>
      <c r="L17" s="21" t="inlineStr">
        <is>
          <t>Disruptive</t>
        </is>
      </c>
    </row>
    <row r="18" hidden="1" ht="16" customFormat="1" customHeight="1" s="4">
      <c r="A18" s="9" t="inlineStr">
        <is>
          <t>TC-AFM-015</t>
        </is>
      </c>
      <c r="B18" s="9" t="inlineStr">
        <is>
          <t>L2</t>
        </is>
      </c>
      <c r="C18" s="10" t="inlineStr">
        <is>
          <t>[Link] Link down (switch), automatic failover policy - the vPOD reconfigures itself after the link-fail threshold</t>
        </is>
      </c>
      <c r="D18" s="16" t="inlineStr">
        <is>
          <t>Yes</t>
        </is>
      </c>
      <c r="E18" s="16" t="n"/>
      <c r="F18" t="inlineStr">
        <is>
          <t>PARTIAL</t>
        </is>
      </c>
      <c r="G18" t="inlineStr">
        <is>
          <t>AFM 0.1.0-AICC-817</t>
        </is>
      </c>
      <c r="H18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rerun after TC fix (PortFailed checked across all computes; 1st run only read computenodes items[0]).</t>
        </is>
      </c>
      <c r="I18" s="23" t="inlineStr">
        <is>
          <t>AFM API + switch SSH</t>
        </is>
      </c>
      <c r="J18" s="22" t="inlineStr">
        <is>
          <t>Switch</t>
        </is>
      </c>
      <c r="K18" s="22" t="inlineStr">
        <is>
          <t>BKC-26.12 plan</t>
        </is>
      </c>
      <c r="L18" s="23" t="inlineStr">
        <is>
          <t>Disruptive</t>
        </is>
      </c>
    </row>
    <row r="19" hidden="1" ht="16" customHeight="1" s="33">
      <c r="A19" s="7" t="inlineStr">
        <is>
          <t>TC-AFM-016</t>
        </is>
      </c>
      <c r="B19" s="7" t="inlineStr">
        <is>
          <t>L2</t>
        </is>
      </c>
      <c r="C19" s="8" t="inlineStr">
        <is>
          <t>[Link] Link down (switch), manual failover policy - the vPOD waits for a manual reconfigure and is back online after it</t>
        </is>
      </c>
      <c r="D19" t="inlineStr">
        <is>
          <t>Yes</t>
        </is>
      </c>
      <c r="F19" t="inlineStr">
        <is>
          <t>PARTIAL</t>
        </is>
      </c>
      <c r="G19" t="inlineStr">
        <is>
          <t>AFM 0.1.0-AICC-817</t>
        </is>
      </c>
      <c r="H19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rerun after TC fix. Flow: needdatafabricreconfiguration -&gt; ReconfigureDataFabric -&gt; degraded -&gt; restored.</t>
        </is>
      </c>
      <c r="I19" s="21" t="inlineStr">
        <is>
          <t>AFM API + switch SSH</t>
        </is>
      </c>
      <c r="J19" s="21" t="inlineStr">
        <is>
          <t>Switch</t>
        </is>
      </c>
      <c r="K19" s="21" t="inlineStr">
        <is>
          <t>BKC-26.12 plan</t>
        </is>
      </c>
      <c r="L19" s="21" t="inlineStr">
        <is>
          <t>Disruptive</t>
        </is>
      </c>
    </row>
    <row r="20" hidden="1" ht="32" customHeight="1" s="33">
      <c r="A20" s="7" t="inlineStr">
        <is>
          <t>TC-AFM-017</t>
        </is>
      </c>
      <c r="B20" s="7" t="inlineStr">
        <is>
          <t>L2</t>
        </is>
      </c>
      <c r="C20" s="8" t="inlineStr">
        <is>
          <t>[Link] Link down (switch) - AFM reconciles the port state and raises link down / link up events</t>
        </is>
      </c>
      <c r="D20" t="inlineStr">
        <is>
          <t>Yes</t>
        </is>
      </c>
      <c r="F20" t="inlineStr">
        <is>
          <t>PARTIAL</t>
        </is>
      </c>
      <c r="G20" t="inlineStr">
        <is>
          <t>AFM 0.1.0-AICC-817</t>
        </is>
      </c>
      <c r="H20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Available planes did not drop below baseline after link-down with afm-agent stopped (S6); link_down/link_up events and PortFailed seen. Not rerun.</t>
        </is>
      </c>
      <c r="I20" s="21" t="inlineStr">
        <is>
          <t>AFM API + switch SSH</t>
        </is>
      </c>
      <c r="J20" s="21" t="inlineStr">
        <is>
          <t>Switch</t>
        </is>
      </c>
      <c r="K20" s="21" t="inlineStr">
        <is>
          <t>BKC-26.12 plan</t>
        </is>
      </c>
      <c r="L20" s="21" t="inlineStr">
        <is>
          <t>Disruptive</t>
        </is>
      </c>
    </row>
    <row r="21" hidden="1" ht="32" customHeight="1" s="33">
      <c r="A21" s="7" t="inlineStr">
        <is>
          <t>TC-AFM-018</t>
        </is>
      </c>
      <c r="B21" s="7" t="inlineStr">
        <is>
          <t>L2</t>
        </is>
      </c>
      <c r="C21" s="8" t="inlineStr">
        <is>
          <t>Switch Agent Restart</t>
        </is>
      </c>
      <c r="D21" s="15" t="inlineStr">
        <is>
          <t>Yes</t>
        </is>
      </c>
      <c r="E21" s="15" t="n"/>
      <c r="F21" t="inlineStr">
        <is>
          <t>PARTIAL</t>
        </is>
      </c>
      <c r="G21" t="inlineStr">
        <is>
          <t>AFM 0.1.0-AICC-817</t>
        </is>
      </c>
      <c r="H21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rerun #2 after TC fixes (port discovery, waits, dead slot). Transient after mass agent restart: vPOD configurationfailed with planes 0/0/36, recovers in 1-2 min.</t>
        </is>
      </c>
      <c r="I21" s="22" t="inlineStr">
        <is>
          <t>AFM API + switch SSH</t>
        </is>
      </c>
      <c r="J21" s="22" t="inlineStr">
        <is>
          <t>Switch</t>
        </is>
      </c>
      <c r="K21" s="22" t="inlineStr">
        <is>
          <t>BKC-26.12 plan</t>
        </is>
      </c>
      <c r="L21" s="22" t="inlineStr">
        <is>
          <t>Disruptive</t>
        </is>
      </c>
    </row>
    <row r="22" hidden="1" ht="32" customHeight="1" s="33">
      <c r="A22" s="7" t="inlineStr">
        <is>
          <t>TC-AFM-019</t>
        </is>
      </c>
      <c r="B22" s="7" t="inlineStr">
        <is>
          <t>L2</t>
        </is>
      </c>
      <c r="C22" s="8" t="inlineStr">
        <is>
          <t>Switch Agent Stop Start</t>
        </is>
      </c>
      <c r="D22" s="15" t="inlineStr">
        <is>
          <t>Yes</t>
        </is>
      </c>
      <c r="E22" s="15" t="n"/>
      <c r="F22" t="inlineStr">
        <is>
          <t>PARTIAL</t>
        </is>
      </c>
      <c r="G22" t="inlineStr">
        <is>
          <t>AFM 0.1.0-AICC-817</t>
        </is>
      </c>
      <c r="H22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Computes not healthy within 120s and vPOD not online/degraded after agents restarted. Not rerun (TC-018 rerun shows the 120s compute wait is too short).</t>
        </is>
      </c>
      <c r="I22" s="22" t="inlineStr">
        <is>
          <t>AFM API + switch SSH</t>
        </is>
      </c>
      <c r="J22" s="22" t="inlineStr">
        <is>
          <t>Switch</t>
        </is>
      </c>
      <c r="K22" s="22" t="inlineStr">
        <is>
          <t>BKC-26.12 plan</t>
        </is>
      </c>
      <c r="L22" s="22" t="inlineStr">
        <is>
          <t>Disruptive</t>
        </is>
      </c>
    </row>
    <row r="23" hidden="1" ht="32" customHeight="1" s="33">
      <c r="A23" s="7" t="inlineStr">
        <is>
          <t>TC-AFM-020</t>
        </is>
      </c>
      <c r="B23" s="7" t="inlineStr">
        <is>
          <t>L2</t>
        </is>
      </c>
      <c r="C23" s="8" t="inlineStr">
        <is>
          <t>Switch Agent Container Restart</t>
        </is>
      </c>
      <c r="D23" s="15" t="inlineStr">
        <is>
          <t>Yes</t>
        </is>
      </c>
      <c r="E23" s="15" t="n"/>
      <c r="F23" t="inlineStr">
        <is>
          <t>PARTIAL</t>
        </is>
      </c>
      <c r="G23" t="inlineStr">
        <is>
          <t>AFM 0.1.0-AICC-817</t>
        </is>
      </c>
      <c r="H2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TC script: sb-node-agent check ran once ~22s after restart (no polling; respawn takes 55s+); agent-comm probe used a fixed port. Not rerun.</t>
        </is>
      </c>
      <c r="I23" s="22" t="inlineStr">
        <is>
          <t>AFM API + switch SSH</t>
        </is>
      </c>
      <c r="J23" s="22" t="inlineStr">
        <is>
          <t>Switch</t>
        </is>
      </c>
      <c r="K23" s="22" t="inlineStr">
        <is>
          <t>BKC-26.12 plan</t>
        </is>
      </c>
      <c r="L23" s="22" t="inlineStr">
        <is>
          <t>Disruptive</t>
        </is>
      </c>
    </row>
    <row r="24" hidden="1" ht="16" customHeight="1" s="33">
      <c r="A24" s="7" t="inlineStr">
        <is>
          <t>TC-AFM-021</t>
        </is>
      </c>
      <c r="B24" s="7" t="inlineStr">
        <is>
          <t>L2</t>
        </is>
      </c>
      <c r="C24" s="8" t="inlineStr">
        <is>
          <t>Non-Leader Controller Restart</t>
        </is>
      </c>
      <c r="D24" t="inlineStr">
        <is>
          <t>Yes</t>
        </is>
      </c>
      <c r="F24" t="inlineStr">
        <is>
          <t>PARTIAL</t>
        </is>
      </c>
      <c r="G24" t="inlineStr">
        <is>
          <t>AFM 0.1.0-AICC-817</t>
        </is>
      </c>
      <c r="H24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rerun after TC fix (cookie/target file names). Leader re-elected; quorum 3.</t>
        </is>
      </c>
      <c r="I24" s="21" t="inlineStr">
        <is>
          <t>AFM API + switch SSH</t>
        </is>
      </c>
      <c r="J24" s="21" t="inlineStr">
        <is>
          <t>Switch</t>
        </is>
      </c>
      <c r="K24" s="21" t="inlineStr">
        <is>
          <t>BKC-26.12 plan</t>
        </is>
      </c>
      <c r="L24" s="21" t="inlineStr">
        <is>
          <t>Disruptive</t>
        </is>
      </c>
    </row>
    <row r="25" hidden="1" ht="32" customHeight="1" s="33">
      <c r="A25" s="7" t="inlineStr">
        <is>
          <t>TC-AFM-022</t>
        </is>
      </c>
      <c r="B25" s="7" t="inlineStr">
        <is>
          <t>L2</t>
        </is>
      </c>
      <c r="C25" s="8" t="inlineStr">
        <is>
          <t>Leader Controller Restart</t>
        </is>
      </c>
      <c r="D25" t="inlineStr">
        <is>
          <t>Yes</t>
        </is>
      </c>
      <c r="F25" t="inlineStr">
        <is>
          <t>PARTIAL</t>
        </is>
      </c>
      <c r="G25" t="inlineStr">
        <is>
          <t>AFM 0.1.0-AICC-817</t>
        </is>
      </c>
      <c r="H2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Rerun needed: steps exited 0 but state comparison was empty (TC script used the wrong cookie/leader files). Leader re-elected in ~41s.</t>
        </is>
      </c>
      <c r="I25" s="21" t="inlineStr">
        <is>
          <t>AFM API + switch SSH</t>
        </is>
      </c>
      <c r="J25" s="21" t="inlineStr">
        <is>
          <t>Switch</t>
        </is>
      </c>
      <c r="K25" s="21" t="inlineStr">
        <is>
          <t>BKC-26.12 plan</t>
        </is>
      </c>
      <c r="L25" s="21" t="inlineStr">
        <is>
          <t>Disruptive</t>
        </is>
      </c>
    </row>
    <row r="26" hidden="1" ht="16" customHeight="1" s="33">
      <c r="A26" s="7" t="inlineStr">
        <is>
          <t>TC-AFM-023</t>
        </is>
      </c>
      <c r="B26" s="7" t="inlineStr">
        <is>
          <t>L2</t>
        </is>
      </c>
      <c r="C26" s="8" t="inlineStr">
        <is>
          <t>Switch Drain And Reactivate</t>
        </is>
      </c>
      <c r="D26" t="inlineStr">
        <is>
          <t>Yes</t>
        </is>
      </c>
      <c r="F26" t="inlineStr">
        <is>
          <t>PARTIAL</t>
        </is>
      </c>
      <c r="G26" t="inlineStr">
        <is>
          <t>AFM 0.1.0-AICC-817</t>
        </is>
      </c>
      <c r="H26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Drain/reactivate; GPUs back to ACTIVE. BW mask changes on drain and is restored on reactivate.</t>
        </is>
      </c>
      <c r="I26" s="21" t="inlineStr">
        <is>
          <t>AFM API + switch SSH</t>
        </is>
      </c>
      <c r="J26" s="21" t="inlineStr">
        <is>
          <t>Switch</t>
        </is>
      </c>
      <c r="K26" s="21" t="inlineStr">
        <is>
          <t>BKC-26.12 plan</t>
        </is>
      </c>
      <c r="L26" s="21" t="inlineStr">
        <is>
          <t>Disruptive</t>
        </is>
      </c>
    </row>
    <row r="27" hidden="1" ht="16" customHeight="1" s="33">
      <c r="A27" s="7" t="inlineStr">
        <is>
          <t>TC-AFM-024</t>
        </is>
      </c>
      <c r="B27" s="7" t="inlineStr">
        <is>
          <t>L2</t>
        </is>
      </c>
      <c r="C27" s="8" t="inlineStr">
        <is>
          <t>Switch Decommission And Delete</t>
        </is>
      </c>
      <c r="D27" t="inlineStr">
        <is>
          <t>Yes</t>
        </is>
      </c>
      <c r="F27" t="inlineStr">
        <is>
          <t>PARTIAL</t>
        </is>
      </c>
      <c r="G27" t="inlineStr">
        <is>
          <t>AFM 0.1.0-AICC-817</t>
        </is>
      </c>
      <c r="H27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Drain, decommission (0 VLANs/MACs, ports routed), delete -&gt; 404, readmit after cert reset.</t>
        </is>
      </c>
      <c r="I27" s="21" t="inlineStr">
        <is>
          <t>AFM API + switch SSH</t>
        </is>
      </c>
      <c r="J27" s="21" t="inlineStr">
        <is>
          <t>Switch</t>
        </is>
      </c>
      <c r="K27" s="21" t="inlineStr">
        <is>
          <t>BKC-26.12 plan</t>
        </is>
      </c>
      <c r="L27" s="21" t="inlineStr">
        <is>
          <t>Disruptive</t>
        </is>
      </c>
    </row>
    <row r="28" hidden="1" ht="16" customHeight="1" s="33">
      <c r="A28" s="7" t="inlineStr">
        <is>
          <t>TC-AFM-025</t>
        </is>
      </c>
      <c r="B28" s="7" t="inlineStr">
        <is>
          <t>L2</t>
        </is>
      </c>
      <c r="C28" s="8" t="inlineStr">
        <is>
          <t>Switch Force Decommission</t>
        </is>
      </c>
      <c r="D28" t="inlineStr">
        <is>
          <t>Yes</t>
        </is>
      </c>
      <c r="F28" t="inlineStr">
        <is>
          <t>PARTIAL</t>
        </is>
      </c>
      <c r="G28" t="inlineStr">
        <is>
          <t>AFM 0.1.0-AICC-817</t>
        </is>
      </c>
      <c r="H28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Environment: post-delete power-off check failed only because CT14 was unreachable. All other steps passed.</t>
        </is>
      </c>
      <c r="I28" s="21" t="inlineStr">
        <is>
          <t>AFM API + switch SSH</t>
        </is>
      </c>
      <c r="J28" s="21" t="inlineStr">
        <is>
          <t>Switch</t>
        </is>
      </c>
      <c r="K28" s="21" t="inlineStr">
        <is>
          <t>BKC-26.12 plan</t>
        </is>
      </c>
      <c r="L28" s="21" t="inlineStr">
        <is>
          <t>Disruptive</t>
        </is>
      </c>
    </row>
    <row r="29" hidden="1" ht="32" customHeight="1" s="33">
      <c r="A29" s="7" t="inlineStr">
        <is>
          <t>TC-AFM-026</t>
        </is>
      </c>
      <c r="B29" s="7" t="inlineStr">
        <is>
          <t>L2</t>
        </is>
      </c>
      <c r="C29" s="8" t="inlineStr">
        <is>
          <t>Switch Decommission vPod Switch Planes</t>
        </is>
      </c>
      <c r="D29" t="inlineStr">
        <is>
          <t>Yes</t>
        </is>
      </c>
      <c r="F29" t="inlineStr">
        <is>
          <t>PARTIAL</t>
        </is>
      </c>
      <c r="G29" t="inlineStr">
        <is>
          <t>AFM 0.1.0-AICC-817</t>
        </is>
      </c>
      <c r="H29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PRODUCT: after force-decommission/delete of 5 switches and readmit, available planes stuck at 6 (36/6/6) for a 15-min watch; only POST vpods/&lt;v&gt;/Reconcile restores. Reproduced on rerun.</t>
        </is>
      </c>
      <c r="I29" s="21" t="inlineStr">
        <is>
          <t>AFM API + switch SSH</t>
        </is>
      </c>
      <c r="J29" s="21" t="inlineStr">
        <is>
          <t>Switch</t>
        </is>
      </c>
      <c r="K29" s="21" t="inlineStr">
        <is>
          <t>BKC-26.12 plan</t>
        </is>
      </c>
      <c r="L29" s="21" t="inlineStr">
        <is>
          <t>Disruptive</t>
        </is>
      </c>
    </row>
    <row r="30" hidden="1" ht="32" customHeight="1" s="33">
      <c r="A30" s="7" t="inlineStr">
        <is>
          <t>TC-AFM-027</t>
        </is>
      </c>
      <c r="B30" s="7" t="inlineStr">
        <is>
          <t>L2</t>
        </is>
      </c>
      <c r="C30" s="8" t="inlineStr">
        <is>
          <t>Switch Drain Restart Controller</t>
        </is>
      </c>
      <c r="D30" t="inlineStr">
        <is>
          <t>Yes</t>
        </is>
      </c>
      <c r="F30" t="inlineStr">
        <is>
          <t>PARTIAL</t>
        </is>
      </c>
      <c r="G30" t="inlineStr">
        <is>
          <t>AFM 0.1.0-AICC-817</t>
        </is>
      </c>
      <c r="H30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PRODUCT (AIFM-1901): after drain + controller restart + reactivate, VLAN programming on .46 wiped (trunk/members 0) while AFM reported the switch healthy; recovered by afm-agent restart.</t>
        </is>
      </c>
      <c r="I30" s="21" t="inlineStr">
        <is>
          <t>AFM API + switch SSH</t>
        </is>
      </c>
      <c r="J30" s="21" t="inlineStr">
        <is>
          <t>Switch</t>
        </is>
      </c>
      <c r="K30" s="21" t="inlineStr">
        <is>
          <t>BKC-26.12 plan</t>
        </is>
      </c>
      <c r="L30" s="21" t="inlineStr">
        <is>
          <t>Disruptive</t>
        </is>
      </c>
    </row>
    <row r="31" hidden="1" ht="16" customHeight="1" s="33">
      <c r="A31" s="7" t="inlineStr">
        <is>
          <t>TC-AFM-028</t>
        </is>
      </c>
      <c r="B31" s="7" t="inlineStr">
        <is>
          <t>L2</t>
        </is>
      </c>
      <c r="C31" s="8" t="inlineStr">
        <is>
          <t>Switch Decommission Restart Controller</t>
        </is>
      </c>
      <c r="D31" t="inlineStr">
        <is>
          <t>Yes</t>
        </is>
      </c>
      <c r="F31" t="inlineStr">
        <is>
          <t>PARTIAL</t>
        </is>
      </c>
      <c r="G31" t="inlineStr">
        <is>
          <t>AFM 0.1.0-AICC-817</t>
        </is>
      </c>
      <c r="H31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2nd attempt (1st: TC mapped quorum IPs to names, controllers never restarted).</t>
        </is>
      </c>
      <c r="I31" s="21" t="inlineStr">
        <is>
          <t>AFM API + switch SSH</t>
        </is>
      </c>
      <c r="J31" s="21" t="inlineStr">
        <is>
          <t>Switch</t>
        </is>
      </c>
      <c r="K31" s="21" t="inlineStr">
        <is>
          <t>BKC-26.12 plan</t>
        </is>
      </c>
      <c r="L31" s="21" t="inlineStr">
        <is>
          <t>Disruptive</t>
        </is>
      </c>
    </row>
    <row r="32" hidden="1" ht="16" customHeight="1" s="33">
      <c r="A32" s="7" t="inlineStr">
        <is>
          <t>TC-AFM-029</t>
        </is>
      </c>
      <c r="B32" s="7" t="inlineStr">
        <is>
          <t>L2</t>
        </is>
      </c>
      <c r="C32" s="8" t="inlineStr">
        <is>
          <t>Switch Delete Restart Controller</t>
        </is>
      </c>
      <c r="D32" t="inlineStr">
        <is>
          <t>Yes</t>
        </is>
      </c>
      <c r="F32" t="inlineStr">
        <is>
          <t>PARTIAL</t>
        </is>
      </c>
      <c r="G32" t="inlineStr">
        <is>
          <t>AFM 0.1.0-AICC-817</t>
        </is>
      </c>
      <c r="H32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Deleted switch not re-added automatically after controller restart.</t>
        </is>
      </c>
      <c r="I32" s="21" t="inlineStr">
        <is>
          <t>AFM API + switch SSH</t>
        </is>
      </c>
      <c r="J32" s="21" t="inlineStr">
        <is>
          <t>Switch</t>
        </is>
      </c>
      <c r="K32" s="21" t="inlineStr">
        <is>
          <t>BKC-26.12 plan</t>
        </is>
      </c>
      <c r="L32" s="21" t="inlineStr">
        <is>
          <t>Disruptive</t>
        </is>
      </c>
    </row>
    <row r="33" hidden="1" ht="16" customHeight="1" s="33">
      <c r="A33" s="7" t="inlineStr">
        <is>
          <t>TC-AFM-030</t>
        </is>
      </c>
      <c r="B33" s="7" t="inlineStr">
        <is>
          <t>L2</t>
        </is>
      </c>
      <c r="C33" s="8" t="inlineStr">
        <is>
          <t>Switch Force Decommission Restart Controller</t>
        </is>
      </c>
      <c r="D33" t="inlineStr">
        <is>
          <t>Yes</t>
        </is>
      </c>
      <c r="F33" t="inlineStr">
        <is>
          <t>PARTIAL</t>
        </is>
      </c>
      <c r="G33" t="inlineStr">
        <is>
          <t>AFM 0.1.0-AICC-817</t>
        </is>
      </c>
      <c r="H3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2nd attempt (1st: controller restart ran on a non-controller host).</t>
        </is>
      </c>
      <c r="I33" s="21" t="inlineStr">
        <is>
          <t>AFM API + switch SSH</t>
        </is>
      </c>
      <c r="J33" s="21" t="inlineStr">
        <is>
          <t>Switch</t>
        </is>
      </c>
      <c r="K33" s="21" t="inlineStr">
        <is>
          <t>BKC-26.12 plan</t>
        </is>
      </c>
      <c r="L33" s="21" t="inlineStr">
        <is>
          <t>Disruptive</t>
        </is>
      </c>
    </row>
    <row r="34" hidden="1" ht="16" customHeight="1" s="33">
      <c r="A34" s="7" t="inlineStr">
        <is>
          <t>TC-AFM-031</t>
        </is>
      </c>
      <c r="B34" s="7" t="inlineStr">
        <is>
          <t>L2</t>
        </is>
      </c>
      <c r="C34" s="8" t="inlineStr">
        <is>
          <t>Switch Drain With Agent Down fails</t>
        </is>
      </c>
      <c r="D34" t="inlineStr">
        <is>
          <t>Yes</t>
        </is>
      </c>
      <c r="F34" t="inlineStr">
        <is>
          <t>FAIL</t>
        </is>
      </c>
      <c r="G34" t="inlineStr">
        <is>
          <t>AFM 0.1.0-AICC-817</t>
        </is>
      </c>
      <c r="H34" s="21" t="inlineStr">
        <is>
          <t>[g02-g17 disruptive switch/AFM, 17-18 Oct 2026] pod-1-5-SwitchTray not admitted+healthy at the end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Note: drain/reactivate API SUCCEEDS with agents down; plan title says 'fails' - confirm expected behaviour.</t>
        </is>
      </c>
      <c r="I34" s="21" t="inlineStr">
        <is>
          <t>AFM API + switch SSH</t>
        </is>
      </c>
      <c r="J34" s="21" t="inlineStr">
        <is>
          <t>Switch</t>
        </is>
      </c>
      <c r="K34" s="21" t="inlineStr">
        <is>
          <t>BKC-26.12 plan</t>
        </is>
      </c>
      <c r="L34" s="21" t="inlineStr">
        <is>
          <t>Disruptive</t>
        </is>
      </c>
    </row>
    <row r="35" hidden="1" ht="16" customHeight="1" s="33">
      <c r="A35" s="7" t="inlineStr">
        <is>
          <t>TC-AFM-032</t>
        </is>
      </c>
      <c r="B35" s="7" t="inlineStr">
        <is>
          <t>L2</t>
        </is>
      </c>
      <c r="C35" s="8" t="inlineStr">
        <is>
          <t>Switch Decommission With Agent Down fails</t>
        </is>
      </c>
      <c r="D35" t="inlineStr">
        <is>
          <t>Yes</t>
        </is>
      </c>
      <c r="F35" t="inlineStr">
        <is>
          <t>PARTIAL</t>
        </is>
      </c>
      <c r="G35" t="inlineStr">
        <is>
          <t>AFM 0.1.0-AICC-817</t>
        </is>
      </c>
      <c r="H3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Decommission with agents down -&gt; decommission_failed; force-decommission then succeeds.</t>
        </is>
      </c>
      <c r="I35" s="21" t="inlineStr">
        <is>
          <t>AFM API + switch SSH</t>
        </is>
      </c>
      <c r="J35" s="21" t="inlineStr">
        <is>
          <t>Switch</t>
        </is>
      </c>
      <c r="K35" s="21" t="inlineStr">
        <is>
          <t>BKC-26.12 plan</t>
        </is>
      </c>
      <c r="L35" s="21" t="inlineStr">
        <is>
          <t>Disruptive</t>
        </is>
      </c>
    </row>
    <row r="36" hidden="1" ht="32" customHeight="1" s="33">
      <c r="A36" s="7" t="inlineStr">
        <is>
          <t>TC-AFM-033</t>
        </is>
      </c>
      <c r="B36" s="7" t="inlineStr">
        <is>
          <t>L2</t>
        </is>
      </c>
      <c r="C36" s="8" t="inlineStr">
        <is>
          <t xml:space="preserve">Switch Delete With Agent Down </t>
        </is>
      </c>
      <c r="D36" t="inlineStr">
        <is>
          <t>Yes</t>
        </is>
      </c>
      <c r="F36" t="inlineStr">
        <is>
          <t>PARTIAL</t>
        </is>
      </c>
      <c r="G36" t="inlineStr">
        <is>
          <t>AFM 0.1.0-AICC-817</t>
        </is>
      </c>
      <c r="H36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PRODUCT: steps pass but available planes not restored after delete-with-agent-down + readmit (36/26/26 first run, 36/28/28 on guarded rerun, 15-min watch); Reconcile required.</t>
        </is>
      </c>
      <c r="I36" s="21" t="inlineStr">
        <is>
          <t>AFM API + switch SSH</t>
        </is>
      </c>
      <c r="J36" s="21" t="inlineStr">
        <is>
          <t>Switch</t>
        </is>
      </c>
      <c r="K36" s="21" t="inlineStr">
        <is>
          <t>BKC-26.12 plan</t>
        </is>
      </c>
      <c r="L36" s="21" t="inlineStr">
        <is>
          <t>Disruptive</t>
        </is>
      </c>
    </row>
    <row r="37" hidden="1" ht="16" customHeight="1" s="33">
      <c r="A37" s="7" t="inlineStr">
        <is>
          <t>TC-AFM-034</t>
        </is>
      </c>
      <c r="B37" s="7" t="inlineStr">
        <is>
          <t>L2</t>
        </is>
      </c>
      <c r="C37" s="8" t="inlineStr">
        <is>
          <t>Switch Force Decommission With Agent Down</t>
        </is>
      </c>
      <c r="D37" t="inlineStr">
        <is>
          <t>Yes</t>
        </is>
      </c>
      <c r="F37" t="inlineStr">
        <is>
          <t>PARTIAL</t>
        </is>
      </c>
      <c r="G37" t="inlineStr">
        <is>
          <t>AFM 0.1.0-AICC-817</t>
        </is>
      </c>
      <c r="H37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Executed on full rack.</t>
        </is>
      </c>
      <c r="I37" s="21" t="inlineStr">
        <is>
          <t>AFM API + switch SSH</t>
        </is>
      </c>
      <c r="J37" s="21" t="inlineStr">
        <is>
          <t>Switch</t>
        </is>
      </c>
      <c r="K37" s="21" t="inlineStr">
        <is>
          <t>BKC-26.12 plan</t>
        </is>
      </c>
      <c r="L37" s="21" t="inlineStr">
        <is>
          <t>Disruptive</t>
        </is>
      </c>
    </row>
    <row r="38" hidden="1" ht="16" customHeight="1" s="33">
      <c r="A38" s="7" t="inlineStr">
        <is>
          <t>TC-AFM-035</t>
        </is>
      </c>
      <c r="B38" s="7" t="inlineStr">
        <is>
          <t>L2</t>
        </is>
      </c>
      <c r="C38" s="8" t="inlineStr">
        <is>
          <t>[Link] Link down during switch decommission / readmit - a switch readmitted with a fabric port down comes back consistent</t>
        </is>
      </c>
      <c r="D38" t="inlineStr">
        <is>
          <t>Yes</t>
        </is>
      </c>
      <c r="F38" t="inlineStr">
        <is>
          <t>PARTIAL</t>
        </is>
      </c>
      <c r="G38" t="inlineStr">
        <is>
          <t>AFM 0.1.0-AICC-817</t>
        </is>
      </c>
      <c r="H38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Decommission/delete/readmit with a port down.</t>
        </is>
      </c>
      <c r="I38" s="21" t="inlineStr">
        <is>
          <t>AFM API + switch SSH</t>
        </is>
      </c>
      <c r="J38" s="21" t="inlineStr">
        <is>
          <t>Switch</t>
        </is>
      </c>
      <c r="K38" s="21" t="inlineStr">
        <is>
          <t>BKC-26.12 plan</t>
        </is>
      </c>
      <c r="L38" s="21" t="inlineStr">
        <is>
          <t>Disruptive</t>
        </is>
      </c>
    </row>
    <row r="39" hidden="1" ht="16" customHeight="1" s="33">
      <c r="A39" s="7" t="n"/>
      <c r="B39" s="7" t="inlineStr">
        <is>
          <t>L2</t>
        </is>
      </c>
      <c r="C39" s="8" t="inlineStr">
        <is>
          <t>Switch Decommision/Delete/Drain Not allowed in Minirack</t>
        </is>
      </c>
      <c r="D39" t="inlineStr">
        <is>
          <t>Yes</t>
        </is>
      </c>
      <c r="I39" s="21" t="inlineStr">
        <is>
          <t>AFM API (disruptive)</t>
        </is>
      </c>
      <c r="L39" t="inlineStr">
        <is>
          <t>Disruptive</t>
        </is>
      </c>
    </row>
    <row r="40" hidden="1" ht="16" customHeight="1" s="33">
      <c r="A40" s="7" t="inlineStr">
        <is>
          <t>TC-AFM-036</t>
        </is>
      </c>
      <c r="B40" s="7" t="inlineStr">
        <is>
          <t>L2</t>
        </is>
      </c>
      <c r="C40" s="8" t="inlineStr">
        <is>
          <t>vPod Create ConfigurationFailed With Agent Down</t>
        </is>
      </c>
      <c r="D40" t="inlineStr">
        <is>
          <t>Yes</t>
        </is>
      </c>
      <c r="F40" t="inlineStr">
        <is>
          <t>PARTIAL</t>
        </is>
      </c>
      <c r="G40" t="inlineStr">
        <is>
          <t>AFM 0.1.0-AICC-817</t>
        </is>
      </c>
      <c r="H40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Note: membership-clear check read a non-existent field (membership is per GPU), first DELETE got 412.</t>
        </is>
      </c>
      <c r="I40" s="21" t="inlineStr">
        <is>
          <t>AFM API + switch SSH</t>
        </is>
      </c>
      <c r="J40" s="21" t="inlineStr">
        <is>
          <t>Switch</t>
        </is>
      </c>
      <c r="K40" s="21" t="inlineStr">
        <is>
          <t>BKC-26.12 plan</t>
        </is>
      </c>
      <c r="L40" s="21" t="inlineStr">
        <is>
          <t>Disruptive</t>
        </is>
      </c>
    </row>
    <row r="41" hidden="1" ht="16" customHeight="1" s="33">
      <c r="A41" s="7" t="inlineStr">
        <is>
          <t>TC-AFM-037</t>
        </is>
      </c>
      <c r="B41" s="7" t="inlineStr">
        <is>
          <t>L2</t>
        </is>
      </c>
      <c r="C41" s="8" t="inlineStr">
        <is>
          <t>vPod Delete Clears Static MAC With Agent Down</t>
        </is>
      </c>
      <c r="D41" t="inlineStr">
        <is>
          <t>Yes</t>
        </is>
      </c>
      <c r="F41" t="inlineStr">
        <is>
          <t>PARTIAL</t>
        </is>
      </c>
      <c r="G41" t="inlineStr">
        <is>
          <t>AFM 0.1.0-AICC-817</t>
        </is>
      </c>
      <c r="H41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0 static MACs on all switch ASICs after vPOD delete with agents down.</t>
        </is>
      </c>
      <c r="I41" s="21" t="inlineStr">
        <is>
          <t>AFM API + switch SSH</t>
        </is>
      </c>
      <c r="J41" s="21" t="inlineStr">
        <is>
          <t>Switch</t>
        </is>
      </c>
      <c r="K41" s="21" t="inlineStr">
        <is>
          <t>BKC-26.12 plan</t>
        </is>
      </c>
      <c r="L41" s="21" t="inlineStr">
        <is>
          <t>Disruptive</t>
        </is>
      </c>
    </row>
    <row r="42" hidden="1" ht="16" customHeight="1" s="33">
      <c r="A42" s="7" t="inlineStr">
        <is>
          <t>TC-AFM-038</t>
        </is>
      </c>
      <c r="B42" s="7" t="inlineStr">
        <is>
          <t>L2</t>
        </is>
      </c>
      <c r="C42" s="8" t="inlineStr">
        <is>
          <t>vPod Reconcile Fails With Agent Down</t>
        </is>
      </c>
      <c r="D42" t="inlineStr">
        <is>
          <t>Yes</t>
        </is>
      </c>
      <c r="F42" t="inlineStr">
        <is>
          <t>PARTIAL</t>
        </is>
      </c>
      <c r="G42" t="inlineStr">
        <is>
          <t>AFM 0.1.0-AICC-817</t>
        </is>
      </c>
      <c r="H42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Reconcile fails while agents down, succeeds after restart.</t>
        </is>
      </c>
      <c r="I42" s="21" t="inlineStr">
        <is>
          <t>AFM API + switch SSH</t>
        </is>
      </c>
      <c r="J42" s="21" t="inlineStr">
        <is>
          <t>Switch</t>
        </is>
      </c>
      <c r="K42" s="21" t="inlineStr">
        <is>
          <t>BKC-26.12 plan</t>
        </is>
      </c>
      <c r="L42" s="21" t="inlineStr">
        <is>
          <t>Disruptive</t>
        </is>
      </c>
    </row>
    <row r="43" hidden="1" ht="16" customHeight="1" s="33">
      <c r="A43" s="7" t="inlineStr">
        <is>
          <t>TC-AFM-039</t>
        </is>
      </c>
      <c r="B43" s="7" t="inlineStr">
        <is>
          <t>L2</t>
        </is>
      </c>
      <c r="C43" s="8" t="inlineStr">
        <is>
          <t>[Link] Link down while a vPOD is being created - the vPOD comes up degraded, not failed</t>
        </is>
      </c>
      <c r="D43" t="inlineStr">
        <is>
          <t>Yes</t>
        </is>
      </c>
      <c r="F43" t="inlineStr">
        <is>
          <t>PARTIAL</t>
        </is>
      </c>
      <c r="G43" t="inlineStr">
        <is>
          <t>AFM 0.1.0-AICC-817</t>
        </is>
      </c>
      <c r="H4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Steps passed; post-check planes 36/27/27 because interface startup did not stick on 5 switches - re-flap recovered.</t>
        </is>
      </c>
      <c r="I43" s="21" t="inlineStr">
        <is>
          <t>AFM API + switch SSH</t>
        </is>
      </c>
      <c r="J43" s="21" t="inlineStr">
        <is>
          <t>Switch</t>
        </is>
      </c>
      <c r="K43" s="21" t="inlineStr">
        <is>
          <t>BKC-26.12 plan</t>
        </is>
      </c>
      <c r="L43" s="21" t="inlineStr">
        <is>
          <t>Disruptive</t>
        </is>
      </c>
    </row>
    <row r="44" hidden="1" ht="16" customHeight="1" s="33">
      <c r="A44" s="7" t="inlineStr">
        <is>
          <t>TC-AFM-040</t>
        </is>
      </c>
      <c r="B44" s="7" t="inlineStr">
        <is>
          <t>L2</t>
        </is>
      </c>
      <c r="C44" s="8" t="inlineStr">
        <is>
          <t>[Link] Link-fail threshold, custom failover policy - a port is marked failed only after the policy's timer</t>
        </is>
      </c>
      <c r="D44" t="inlineStr">
        <is>
          <t>Yes</t>
        </is>
      </c>
      <c r="F44" t="inlineStr">
        <is>
          <t>FAIL</t>
        </is>
      </c>
      <c r="G44" t="inlineStr">
        <is>
          <t>AFM 0.1.0-AICC-817</t>
        </is>
      </c>
      <c r="H44" s="21" t="inlineStr">
        <is>
          <t>[g02-g17 disruptive switch/AFM, 17-18 Oct 2026] PortFailed after 2.4s, before the 30s threshold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2nd attempt after TC fix (PortFailed diffed across all computes).</t>
        </is>
      </c>
      <c r="I44" s="21" t="inlineStr">
        <is>
          <t>AFM API + switch SSH</t>
        </is>
      </c>
      <c r="J44" s="21" t="inlineStr">
        <is>
          <t>Switch</t>
        </is>
      </c>
      <c r="K44" s="21" t="inlineStr">
        <is>
          <t>BKC-26.12 plan</t>
        </is>
      </c>
      <c r="L44" s="21" t="inlineStr">
        <is>
          <t>Disruptive</t>
        </is>
      </c>
    </row>
    <row r="45" hidden="1" ht="32" customHeight="1" s="33">
      <c r="A45" s="7" t="inlineStr">
        <is>
          <t>TC-AFM-041</t>
        </is>
      </c>
      <c r="B45" s="7" t="inlineStr">
        <is>
          <t>L2</t>
        </is>
      </c>
      <c r="C45" s="8" t="inlineStr">
        <is>
          <t>[Link] Link-fail threshold, manual failover policy - the timer is respected and the reconfigure waits for the user</t>
        </is>
      </c>
      <c r="D45" t="inlineStr">
        <is>
          <t>Yes</t>
        </is>
      </c>
      <c r="F45" t="inlineStr">
        <is>
          <t>PARTIAL</t>
        </is>
      </c>
      <c r="G45" t="inlineStr">
        <is>
          <t>AFM 0.1.0-AICC-817</t>
        </is>
      </c>
      <c r="H4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guarded rerun. 1st run left the vPOD in needdatafabricreconfiguration (TC did not reconfigure after restore).</t>
        </is>
      </c>
      <c r="I45" s="21" t="inlineStr">
        <is>
          <t>AFM API + switch SSH</t>
        </is>
      </c>
      <c r="J45" s="21" t="inlineStr">
        <is>
          <t>Switch</t>
        </is>
      </c>
      <c r="K45" s="21" t="inlineStr">
        <is>
          <t>BKC-26.12 plan</t>
        </is>
      </c>
      <c r="L45" s="21" t="inlineStr">
        <is>
          <t>Disruptive</t>
        </is>
      </c>
    </row>
    <row r="46" hidden="1" ht="16" customHeight="1" s="33">
      <c r="A46" s="7" t="inlineStr">
        <is>
          <t>TC-AFM-042</t>
        </is>
      </c>
      <c r="B46" s="7" t="inlineStr">
        <is>
          <t>L2</t>
        </is>
      </c>
      <c r="C46" s="8" t="inlineStr">
        <is>
          <t>Edit Failover Policy Manual To Automatic</t>
        </is>
      </c>
      <c r="D46" t="inlineStr">
        <is>
          <t>Yes</t>
        </is>
      </c>
      <c r="F46" t="inlineStr">
        <is>
          <t>PARTIAL</t>
        </is>
      </c>
      <c r="G46" t="inlineStr">
        <is>
          <t>AFM 0.1.0-AICC-817</t>
        </is>
      </c>
      <c r="H46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rerun after TC fix (PortFailed across all computes).</t>
        </is>
      </c>
      <c r="I46" s="21" t="inlineStr">
        <is>
          <t>AFM API + switch SSH</t>
        </is>
      </c>
      <c r="J46" s="21" t="inlineStr">
        <is>
          <t>Switch</t>
        </is>
      </c>
      <c r="K46" s="21" t="inlineStr">
        <is>
          <t>BKC-26.12 plan</t>
        </is>
      </c>
      <c r="L46" s="21" t="inlineStr">
        <is>
          <t>Disruptive</t>
        </is>
      </c>
    </row>
    <row r="47" hidden="1" ht="16" customHeight="1" s="33">
      <c r="A47" s="7" t="inlineStr">
        <is>
          <t>TC-AFM-045</t>
        </is>
      </c>
      <c r="B47" s="7" t="inlineStr">
        <is>
          <t>L2</t>
        </is>
      </c>
      <c r="C47" s="8" t="inlineStr">
        <is>
          <t>Compute Node Life Cycle</t>
        </is>
      </c>
      <c r="D47" t="inlineStr">
        <is>
          <t>Yes</t>
        </is>
      </c>
      <c r="F47" t="inlineStr">
        <is>
          <t>PARTIAL</t>
        </is>
      </c>
      <c r="G47" t="inlineStr">
        <is>
          <t>AFM 0.1.0-AICC-817</t>
        </is>
      </c>
      <c r="H47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guarded rerun (readmit took 134s; 1st run timed out at 120s - allow 300s, AIFM-1512).</t>
        </is>
      </c>
      <c r="I47" s="21" t="inlineStr">
        <is>
          <t>AFM API + switch SSH</t>
        </is>
      </c>
      <c r="J47" s="21" t="inlineStr">
        <is>
          <t>Switch</t>
        </is>
      </c>
      <c r="K47" s="21" t="inlineStr">
        <is>
          <t>BKC-26.12 plan</t>
        </is>
      </c>
      <c r="L47" s="21" t="inlineStr">
        <is>
          <t>Disruptive</t>
        </is>
      </c>
    </row>
    <row r="48" hidden="1" ht="16" customHeight="1" s="33">
      <c r="A48" s="7" t="inlineStr">
        <is>
          <t>TC-AFM-046</t>
        </is>
      </c>
      <c r="B48" s="7" t="inlineStr">
        <is>
          <t>L2</t>
        </is>
      </c>
      <c r="C48" s="8" t="inlineStr">
        <is>
          <t>Forced Decommission of Compute Node</t>
        </is>
      </c>
      <c r="D48" t="inlineStr">
        <is>
          <t>Yes</t>
        </is>
      </c>
      <c r="F48" t="inlineStr">
        <is>
          <t>PARTIAL</t>
        </is>
      </c>
      <c r="G48" t="inlineStr">
        <is>
          <t>AFM 0.1.0-AICC-817</t>
        </is>
      </c>
      <c r="H48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guarded rerun (readmit 124s; 1st run restarted afm-agent on the wrong switch and timed out at 120s).</t>
        </is>
      </c>
      <c r="I48" s="21" t="inlineStr">
        <is>
          <t>AFM API + switch SSH</t>
        </is>
      </c>
      <c r="J48" s="21" t="inlineStr">
        <is>
          <t>Switch</t>
        </is>
      </c>
      <c r="K48" s="21" t="inlineStr">
        <is>
          <t>BKC-26.12 plan</t>
        </is>
      </c>
      <c r="L48" s="21" t="inlineStr">
        <is>
          <t>Disruptive</t>
        </is>
      </c>
    </row>
    <row r="49" hidden="1" ht="16" customHeight="1" s="33">
      <c r="A49" s="7" t="inlineStr">
        <is>
          <t>TC-AFM-047</t>
        </is>
      </c>
      <c r="B49" s="7" t="inlineStr">
        <is>
          <t>L2</t>
        </is>
      </c>
      <c r="C49" s="8" t="inlineStr">
        <is>
          <t>Failed Decommission of Compute Node</t>
        </is>
      </c>
      <c r="D49" t="inlineStr">
        <is>
          <t>Yes</t>
        </is>
      </c>
      <c r="F49" t="inlineStr">
        <is>
          <t>PARTIAL</t>
        </is>
      </c>
      <c r="G49" t="inlineStr">
        <is>
          <t>AFM 0.1.0-AICC-817</t>
        </is>
      </c>
      <c r="H49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Decommission and force-decommission rejected (412) while in a vPOD; readmit in 44s.</t>
        </is>
      </c>
      <c r="I49" s="21" t="inlineStr">
        <is>
          <t>AFM API (disruptive)</t>
        </is>
      </c>
      <c r="J49" s="21" t="inlineStr">
        <is>
          <t>Switch (AFM API)</t>
        </is>
      </c>
      <c r="K49" s="21" t="inlineStr">
        <is>
          <t>BKC-26.12 plan</t>
        </is>
      </c>
      <c r="L49" s="21" t="inlineStr">
        <is>
          <t>Disruptive</t>
        </is>
      </c>
    </row>
    <row r="50" hidden="1" ht="16" customHeight="1" s="33">
      <c r="A50" s="7" t="inlineStr">
        <is>
          <t>TC-AFM-043</t>
        </is>
      </c>
      <c r="B50" s="7" t="inlineStr">
        <is>
          <t>L2</t>
        </is>
      </c>
      <c r="C50" s="8" t="inlineStr">
        <is>
          <t>Cluster Role And RBAC</t>
        </is>
      </c>
      <c r="D50" t="inlineStr">
        <is>
          <t>Yes</t>
        </is>
      </c>
      <c r="F50" t="inlineStr">
        <is>
          <t>PASS</t>
        </is>
      </c>
      <c r="G50" t="inlineStr">
        <is>
          <t>SONiC.202505I20260915070938_x100.15; afm-agent/controller 202505I20260915070938_x100.15</t>
        </is>
      </c>
      <c r="H50" s="21" t="inlineStr">
        <is>
          <t>[g02-g17 full rack, non-disruptive switch + AFM API, 14 Oct 2026] 1 item(s) passed (helios-tests fullrack-switch-nd-filtered, g02-g17-20261014-092828, g02-g17-20261014-170350, g02-g17-20261014-170910)
Earlier: User/role/rolebinding, failed-login tracking, auth/monitoring/workload role groups.</t>
        </is>
      </c>
      <c r="I50" s="21" t="inlineStr">
        <is>
          <t>AFM API</t>
        </is>
      </c>
      <c r="J50" s="21" t="inlineStr">
        <is>
          <t>Switch (AFM API)</t>
        </is>
      </c>
      <c r="K50" s="21" t="inlineStr">
        <is>
          <t>BKC-26.12 plan</t>
        </is>
      </c>
      <c r="L50" s="21" t="inlineStr">
        <is>
          <t>Non-disruptive</t>
        </is>
      </c>
    </row>
    <row r="51" hidden="1" ht="16" customHeight="1" s="33">
      <c r="A51" s="7" t="inlineStr">
        <is>
          <t>TC-AFM-044</t>
        </is>
      </c>
      <c r="B51" s="7" t="inlineStr">
        <is>
          <t>L2</t>
        </is>
      </c>
      <c r="C51" s="8" t="inlineStr">
        <is>
          <t>RADIUS LDAP Authentication</t>
        </is>
      </c>
      <c r="D51" t="inlineStr">
        <is>
          <t>Yes</t>
        </is>
      </c>
      <c r="F51" t="inlineStr">
        <is>
          <t>Skipped</t>
        </is>
      </c>
      <c r="G51" t="inlineStr">
        <is>
          <t>AFM 0.1.0-AICC-817</t>
        </is>
      </c>
      <c r="H51" s="21" t="inlineStr">
        <is>
          <t>[g02-g17 disruptive switch/AFM, 17-18 Oct 2026] Skipped: afm.ldap not configured (authenticator, username, password_env)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Not executed: no RADIUS/LDAP server configured on the testbed.</t>
        </is>
      </c>
      <c r="I51" s="21" t="inlineStr">
        <is>
          <t>LDAP server + AFM API (disruptive)</t>
        </is>
      </c>
      <c r="J51" s="21" t="inlineStr">
        <is>
          <t>Switch (AFM API)</t>
        </is>
      </c>
      <c r="K51" s="21" t="inlineStr">
        <is>
          <t>BKC-26.12 plan</t>
        </is>
      </c>
      <c r="L51" s="21" t="inlineStr">
        <is>
          <t>Disruptive</t>
        </is>
      </c>
    </row>
    <row r="52" hidden="1" ht="16" customHeight="1" s="33">
      <c r="A52" s="7" t="inlineStr">
        <is>
          <t>TC-AFM-048</t>
        </is>
      </c>
      <c r="B52" s="7" t="inlineStr">
        <is>
          <t>L2</t>
        </is>
      </c>
      <c r="C52" s="8" t="inlineStr">
        <is>
          <t>Audit Events</t>
        </is>
      </c>
      <c r="D52" t="inlineStr">
        <is>
          <t>Yes</t>
        </is>
      </c>
      <c r="F52" t="inlineStr">
        <is>
          <t>PASS</t>
        </is>
      </c>
      <c r="G52" t="inlineStr">
        <is>
          <t>SONiC.202505I20260915070938_x100.15; afm-agent/controller 202505I20260915070938_x100.15</t>
        </is>
      </c>
      <c r="H52" s="21" t="inlineStr">
        <is>
          <t>[g02-g17 full rack, non-disruptive switch + AFM API, 14 Oct 2026] 1 item(s) passed (helios-tests fullrack-switch-nd-filtered, g02-g17-20261014-092828, g02-g17-20261014-170350, g02-g17-20261014-170910)
Earlier: CRUD + login audit events present; duplicate Delete/requestauthorization is a known WARN (AIFM-1363).</t>
        </is>
      </c>
      <c r="I52" s="21" t="inlineStr">
        <is>
          <t>AFM API</t>
        </is>
      </c>
      <c r="J52" s="21" t="inlineStr">
        <is>
          <t>Switch (AFM API)</t>
        </is>
      </c>
      <c r="K52" s="21" t="inlineStr">
        <is>
          <t>BKC-26.12 plan</t>
        </is>
      </c>
      <c r="L52" s="21" t="inlineStr">
        <is>
          <t>Non-disruptive</t>
        </is>
      </c>
    </row>
    <row r="53" hidden="1" ht="16" customHeight="1" s="33">
      <c r="A53" s="7" t="inlineStr">
        <is>
          <t>TC-AFM-RC-001</t>
        </is>
      </c>
      <c r="B53" s="7" t="inlineStr">
        <is>
          <t>L2</t>
        </is>
      </c>
      <c r="C53" s="8" t="inlineStr">
        <is>
          <t>Reconfigure Single Compute</t>
        </is>
      </c>
      <c r="D53" t="inlineStr">
        <is>
          <t>Yes</t>
        </is>
      </c>
      <c r="F53" t="inlineStr">
        <is>
          <t>PARTIAL</t>
        </is>
      </c>
      <c r="G53" t="inlineStr">
        <is>
          <t>AFM 0.1.0-AICC-817</t>
        </is>
      </c>
      <c r="H5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Executed on full rack.</t>
        </is>
      </c>
      <c r="I53" s="21" t="inlineStr">
        <is>
          <t>AFM API (disruptive)</t>
        </is>
      </c>
      <c r="J53" s="21" t="inlineStr">
        <is>
          <t>Switch (AFM API)</t>
        </is>
      </c>
      <c r="K53" s="21" t="inlineStr">
        <is>
          <t>BKC-26.12 plan</t>
        </is>
      </c>
      <c r="L53" s="21" t="inlineStr">
        <is>
          <t>Disruptive</t>
        </is>
      </c>
    </row>
    <row r="54" hidden="1" ht="16" customHeight="1" s="33">
      <c r="A54" s="7" t="inlineStr">
        <is>
          <t>TC-AFM-RC-002</t>
        </is>
      </c>
      <c r="B54" s="7" t="inlineStr">
        <is>
          <t>L2</t>
        </is>
      </c>
      <c r="C54" s="8" t="inlineStr">
        <is>
          <t>Reconfigure All Computes Sequentially</t>
        </is>
      </c>
      <c r="D54" t="inlineStr">
        <is>
          <t>Yes</t>
        </is>
      </c>
      <c r="F54" t="inlineStr">
        <is>
          <t>PARTIAL</t>
        </is>
      </c>
      <c r="G54" t="inlineStr">
        <is>
          <t>AFM 0.1.0-AICC-817</t>
        </is>
      </c>
      <c r="H54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Note: Ready waits passed in ~1s (transition may not be observed).</t>
        </is>
      </c>
      <c r="I54" s="21" t="inlineStr">
        <is>
          <t>AFM API (disruptive)</t>
        </is>
      </c>
      <c r="J54" s="21" t="inlineStr">
        <is>
          <t>Switch (AFM API)</t>
        </is>
      </c>
      <c r="K54" s="21" t="inlineStr">
        <is>
          <t>BKC-26.12 plan</t>
        </is>
      </c>
      <c r="L54" s="21" t="inlineStr">
        <is>
          <t>Disruptive</t>
        </is>
      </c>
    </row>
    <row r="55" hidden="1" ht="16" customHeight="1" s="33">
      <c r="A55" s="7" t="inlineStr">
        <is>
          <t>TC-AFM-RC-003</t>
        </is>
      </c>
      <c r="B55" s="7" t="inlineStr">
        <is>
          <t>L2</t>
        </is>
      </c>
      <c r="C55" s="8" t="inlineStr">
        <is>
          <t>Reconfigure All Computes in Parallel</t>
        </is>
      </c>
      <c r="D55" t="inlineStr">
        <is>
          <t>Yes</t>
        </is>
      </c>
      <c r="F55" t="inlineStr">
        <is>
          <t>PARTIAL</t>
        </is>
      </c>
      <c r="G55" t="inlineStr">
        <is>
          <t>AFM 0.1.0-AICC-817</t>
        </is>
      </c>
      <c r="H5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2nd attempt (mesh ping made concurrent per compute): 204 ping pairs, 0 failed.</t>
        </is>
      </c>
      <c r="I55" s="21" t="inlineStr">
        <is>
          <t>AFM API (disruptive)</t>
        </is>
      </c>
      <c r="J55" s="21" t="inlineStr">
        <is>
          <t>Switch (AFM API)</t>
        </is>
      </c>
      <c r="K55" s="21" t="inlineStr">
        <is>
          <t>BKC-26.12 plan</t>
        </is>
      </c>
      <c r="L55" s="21" t="inlineStr">
        <is>
          <t>Disruptive</t>
        </is>
      </c>
    </row>
    <row r="56" hidden="1" ht="16" customHeight="1" s="33">
      <c r="A56" s="7" t="inlineStr">
        <is>
          <t>TC-AFM-RC-004</t>
        </is>
      </c>
      <c r="B56" s="7" t="inlineStr">
        <is>
          <t>L2</t>
        </is>
      </c>
      <c r="C56" s="8" t="inlineStr">
        <is>
          <t>Back-to-Back Idempotent Reconfigure</t>
        </is>
      </c>
      <c r="D56" t="inlineStr">
        <is>
          <t>Yes</t>
        </is>
      </c>
      <c r="F56" t="inlineStr">
        <is>
          <t>PARTIAL</t>
        </is>
      </c>
      <c r="G56" t="inlineStr">
        <is>
          <t>AFM 0.1.0-AICC-817</t>
        </is>
      </c>
      <c r="H56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Second Reconfigure gets 412 while the first is in progress (AIFM-1702), then 200.</t>
        </is>
      </c>
      <c r="I56" s="21" t="inlineStr">
        <is>
          <t>AFM API (disruptive)</t>
        </is>
      </c>
      <c r="J56" s="21" t="inlineStr">
        <is>
          <t>Switch (AFM API)</t>
        </is>
      </c>
      <c r="K56" s="21" t="inlineStr">
        <is>
          <t>BKC-26.12 plan</t>
        </is>
      </c>
      <c r="L56" s="21" t="inlineStr">
        <is>
          <t>Disruptive</t>
        </is>
      </c>
    </row>
    <row r="57" hidden="1" ht="16" customHeight="1" s="33">
      <c r="A57" s="7" t="inlineStr">
        <is>
          <t>TC-AFM-RC-005</t>
        </is>
      </c>
      <c r="B57" s="7" t="inlineStr">
        <is>
          <t>L2</t>
        </is>
      </c>
      <c r="C57" s="8" t="inlineStr">
        <is>
          <t>Reconfigure Compute Then Add Compute to vPOD</t>
        </is>
      </c>
      <c r="D57" t="inlineStr">
        <is>
          <t>Yes</t>
        </is>
      </c>
      <c r="F57" t="inlineStr">
        <is>
          <t>FAIL</t>
        </is>
      </c>
      <c r="G57" t="inlineStr">
        <is>
          <t>AFM 0.1.0-AICC-817</t>
        </is>
      </c>
      <c r="H57" s="21" t="inlineStr">
        <is>
          <t>[g02-g17 disruptive switch/AFM, 17-18 Oct 2026] by node: pod-1-17-ComputeTray 1, - 1; Reconfigure -&gt; HTTP 412: {"T":{"kind":"Status"},"result":{"Str":"Failed pre conditions"},"message":["reconfigure compute tray is not allowed: GPU a60075c1-0000-1000-80c9-77752ab6a025 on compute node pod-1-17-ComputeTray does; pod-1.system not online/degraded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3rd attempt (TC fixes; GPU re-add returns 400 'configuration failed state' for up to ~120s - retry).</t>
        </is>
      </c>
      <c r="I57" s="21" t="inlineStr">
        <is>
          <t>AFM API (disruptive)</t>
        </is>
      </c>
      <c r="J57" s="21" t="inlineStr">
        <is>
          <t>Switch (AFM API)</t>
        </is>
      </c>
      <c r="K57" s="21" t="inlineStr">
        <is>
          <t>BKC-26.12 plan</t>
        </is>
      </c>
      <c r="L57" s="21" t="inlineStr">
        <is>
          <t>Disruptive</t>
        </is>
      </c>
    </row>
    <row r="58" hidden="1" ht="16" customHeight="1" s="33">
      <c r="A58" s="7" t="inlineStr">
        <is>
          <t>TC-AFM-RC-006</t>
        </is>
      </c>
      <c r="B58" s="7" t="inlineStr">
        <is>
          <t>L2</t>
        </is>
      </c>
      <c r="C58" s="8" t="inlineStr">
        <is>
          <t>Reconfigure Compute Then Remove Compute from vPOD</t>
        </is>
      </c>
      <c r="D58" t="inlineStr">
        <is>
          <t>Yes</t>
        </is>
      </c>
      <c r="F58" t="inlineStr">
        <is>
          <t>PARTIAL</t>
        </is>
      </c>
      <c r="G58" t="inlineStr">
        <is>
          <t>AFM 0.1.0-AICC-817</t>
        </is>
      </c>
      <c r="H58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2nd attempt (1st was vacuous: GPUs never removed).</t>
        </is>
      </c>
      <c r="I58" s="21" t="inlineStr">
        <is>
          <t>AFM API (disruptive)</t>
        </is>
      </c>
      <c r="J58" s="21" t="inlineStr">
        <is>
          <t>Switch (AFM API)</t>
        </is>
      </c>
      <c r="K58" s="21" t="inlineStr">
        <is>
          <t>BKC-26.12 plan</t>
        </is>
      </c>
      <c r="L58" s="21" t="inlineStr">
        <is>
          <t>Disruptive</t>
        </is>
      </c>
    </row>
    <row r="59" hidden="1" ht="16" customHeight="1" s="33">
      <c r="A59" s="7" t="inlineStr">
        <is>
          <t>TC-AFM-RC-007</t>
        </is>
      </c>
      <c r="B59" s="7" t="inlineStr">
        <is>
          <t>L2</t>
        </is>
      </c>
      <c r="C59" s="8" t="inlineStr">
        <is>
          <t>Reconfigure After Single Accelerator Reset</t>
        </is>
      </c>
      <c r="D59" t="inlineStr">
        <is>
          <t>Yes</t>
        </is>
      </c>
      <c r="G59" t="inlineStr">
        <is>
          <t>AFM 0.1.0-AICC-817</t>
        </is>
      </c>
      <c r="H59" s="21" t="inlineStr">
        <is>
          <t>afmctl reset device -b, Ready, Reconfigure; L2 ping 27/27.</t>
        </is>
      </c>
      <c r="I59" s="21" t="inlineStr">
        <is>
          <t>AFM API + compute SSH</t>
        </is>
      </c>
      <c r="J59" s="21" t="inlineStr">
        <is>
          <t>Compute</t>
        </is>
      </c>
      <c r="K59" s="21" t="inlineStr">
        <is>
          <t>BKC-26.12 plan</t>
        </is>
      </c>
      <c r="L59" s="21" t="inlineStr">
        <is>
          <t>Disruptive</t>
        </is>
      </c>
    </row>
    <row r="60" hidden="1" ht="32" customHeight="1" s="33">
      <c r="A60" s="7" t="inlineStr">
        <is>
          <t>TC-AFM-RC-017</t>
        </is>
      </c>
      <c r="B60" s="7" t="inlineStr">
        <is>
          <t>L2</t>
        </is>
      </c>
      <c r="C60" s="8" t="inlineStr">
        <is>
          <t>Reconfigure on Unhealthy Compute</t>
        </is>
      </c>
      <c r="D60" t="inlineStr">
        <is>
          <t>Yes</t>
        </is>
      </c>
      <c r="F60" t="inlineStr">
        <is>
          <t>PARTIAL</t>
        </is>
      </c>
      <c r="G60" t="inlineStr">
        <is>
          <t>AFM 0.1.0-AICC-817</t>
        </is>
      </c>
      <c r="H60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guarded rerun. Reconfigure on an unhealthy sideband compute returns 412 'does not have scaleup info' (plan text expects 200).</t>
        </is>
      </c>
      <c r="I60" s="21" t="inlineStr">
        <is>
          <t>AFM API + switch SSH</t>
        </is>
      </c>
      <c r="J60" s="21" t="inlineStr">
        <is>
          <t>Switch</t>
        </is>
      </c>
      <c r="K60" s="21" t="inlineStr">
        <is>
          <t>BKC-26.12 plan</t>
        </is>
      </c>
      <c r="L60" s="21" t="inlineStr">
        <is>
          <t>Disruptive</t>
        </is>
      </c>
    </row>
    <row r="61" hidden="1" ht="16" customHeight="1" s="33">
      <c r="A61" s="7" t="inlineStr">
        <is>
          <t>TC-AFM-RC-018</t>
        </is>
      </c>
      <c r="B61" s="7" t="inlineStr">
        <is>
          <t>L2</t>
        </is>
      </c>
      <c r="C61" s="8" t="inlineStr">
        <is>
          <t>Reconfigure Non-Existent Compute</t>
        </is>
      </c>
      <c r="D61" t="inlineStr">
        <is>
          <t>Yes</t>
        </is>
      </c>
      <c r="F61" t="inlineStr">
        <is>
          <t>PASS</t>
        </is>
      </c>
      <c r="G61" t="inlineStr">
        <is>
          <t>SONiC.202505I20260915070938_x100.15; afm-agent/controller 202505I20260915070938_x100.15</t>
        </is>
      </c>
      <c r="H61" s="21" t="inlineStr">
        <is>
          <t>[g02-g17 full rack, non-disruptive switch + AFM API, 14 Oct 2026] 1 item(s) passed (helios-tests fullrack-switch-nd-filtered, g02-g17-20261014-092828, g02-g17-20261014-170350, g02-g17-20261014-170910)
Earlier: 404/412 'failed to find computeNode'.</t>
        </is>
      </c>
      <c r="I61" s="21" t="inlineStr">
        <is>
          <t>AFM API</t>
        </is>
      </c>
      <c r="J61" s="21" t="inlineStr">
        <is>
          <t>Switch (AFM API)</t>
        </is>
      </c>
      <c r="K61" s="21" t="inlineStr">
        <is>
          <t>BKC-26.12 plan</t>
        </is>
      </c>
      <c r="L61" s="21" t="inlineStr">
        <is>
          <t>Non-disruptive</t>
        </is>
      </c>
    </row>
    <row r="62" hidden="1" ht="16" customHeight="1" s="33">
      <c r="A62" s="7" t="inlineStr">
        <is>
          <t>TC-AFM-RC-019</t>
        </is>
      </c>
      <c r="B62" s="7" t="inlineStr">
        <is>
          <t>L2</t>
        </is>
      </c>
      <c r="C62" s="8" t="inlineStr">
        <is>
          <t>Reconfigure Decommissioned Compute</t>
        </is>
      </c>
      <c r="D62" t="inlineStr">
        <is>
          <t>Yes</t>
        </is>
      </c>
      <c r="F62" t="inlineStr">
        <is>
          <t>PARTIAL</t>
        </is>
      </c>
      <c r="G62" t="inlineStr">
        <is>
          <t>AFM 0.1.0-AICC-817</t>
        </is>
      </c>
      <c r="H62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Reconfigure on decommissioned compute -&gt; 412.</t>
        </is>
      </c>
      <c r="I62" s="21" t="inlineStr">
        <is>
          <t>AFM API + switch SSH</t>
        </is>
      </c>
      <c r="J62" s="21" t="inlineStr">
        <is>
          <t>Switch</t>
        </is>
      </c>
      <c r="K62" s="21" t="inlineStr">
        <is>
          <t>BKC-26.12 plan</t>
        </is>
      </c>
      <c r="L62" s="21" t="inlineStr">
        <is>
          <t>Disruptive</t>
        </is>
      </c>
    </row>
    <row r="63" hidden="1" ht="16" customHeight="1" s="33">
      <c r="A63" s="7" t="inlineStr">
        <is>
          <t>TC-AFM-RC-020</t>
        </is>
      </c>
      <c r="B63" s="7" t="inlineStr">
        <is>
          <t>L2</t>
        </is>
      </c>
      <c r="C63" s="8" t="inlineStr">
        <is>
          <t>Reconfigure During Decommissioning</t>
        </is>
      </c>
      <c r="D63" t="inlineStr">
        <is>
          <t>Yes</t>
        </is>
      </c>
      <c r="F63" t="inlineStr">
        <is>
          <t>PARTIAL</t>
        </is>
      </c>
      <c r="G63" t="inlineStr">
        <is>
          <t>AFM 0.1.0-AICC-817</t>
        </is>
      </c>
      <c r="H6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PASS on 2nd attempt (1st raced vPOD removal: Decommission 412 'GPUs are part of vPods').</t>
        </is>
      </c>
      <c r="I63" s="21" t="inlineStr">
        <is>
          <t>AFM API + switch SSH</t>
        </is>
      </c>
      <c r="J63" s="21" t="inlineStr">
        <is>
          <t>Switch</t>
        </is>
      </c>
      <c r="K63" s="21" t="inlineStr">
        <is>
          <t>BKC-26.12 plan</t>
        </is>
      </c>
      <c r="L63" s="21" t="inlineStr">
        <is>
          <t>Disruptive</t>
        </is>
      </c>
    </row>
    <row r="64" hidden="1" ht="16" customHeight="1" s="33">
      <c r="A64" s="7" t="inlineStr">
        <is>
          <t>TC-AFM-RC-021</t>
        </is>
      </c>
      <c r="B64" s="7" t="inlineStr">
        <is>
          <t>L3</t>
        </is>
      </c>
      <c r="C64" s="8" t="inlineStr">
        <is>
          <t>Reconfigure Rejected for Unauthenticated Caller</t>
        </is>
      </c>
      <c r="D64" t="inlineStr">
        <is>
          <t>Yes</t>
        </is>
      </c>
      <c r="F64" t="inlineStr">
        <is>
          <t>PASS</t>
        </is>
      </c>
      <c r="G64" t="inlineStr">
        <is>
          <t>SONiC.202505I20260915070938_x100.15; afm-agent/controller 202505I20260915070938_x100.15</t>
        </is>
      </c>
      <c r="H64" s="21" t="inlineStr">
        <is>
          <t>[g02-g17 full rack, non-disruptive switch + AFM API, 14 Oct 2026] 1 item(s) passed (helios-tests fullrack-switch-nd-filtered, g02-g17-20261014-092828, g02-g17-20261014-170350, g02-g17-20261014-170910)
Earlier: 401 without credentials.</t>
        </is>
      </c>
      <c r="I64" s="21" t="inlineStr">
        <is>
          <t>AFM API</t>
        </is>
      </c>
      <c r="J64" s="21" t="inlineStr">
        <is>
          <t>Switch (AFM API)</t>
        </is>
      </c>
      <c r="K64" s="21" t="inlineStr">
        <is>
          <t>BKC-26.12 plan</t>
        </is>
      </c>
      <c r="L64" s="21" t="inlineStr">
        <is>
          <t>Non-disruptive</t>
        </is>
      </c>
    </row>
    <row r="65" hidden="1" ht="16" customHeight="1" s="33">
      <c r="A65" s="7" t="inlineStr">
        <is>
          <t>TC-AFM-RC-022</t>
        </is>
      </c>
      <c r="B65" s="7" t="inlineStr">
        <is>
          <t>L3</t>
        </is>
      </c>
      <c r="C65" s="8" t="inlineStr">
        <is>
          <t>Reconfigure Rejected for Read-Only RBAC User</t>
        </is>
      </c>
      <c r="D65" t="inlineStr">
        <is>
          <t>Yes</t>
        </is>
      </c>
      <c r="F65" t="inlineStr">
        <is>
          <t>PASS</t>
        </is>
      </c>
      <c r="G65" t="inlineStr">
        <is>
          <t>SONiC.202505I20260915070938_x100.15; afm-agent/controller 202505I20260915070938_x100.15</t>
        </is>
      </c>
      <c r="H65" s="21" t="inlineStr">
        <is>
          <t>[g02-g17 full rack, non-disruptive switch + AFM API, 14 Oct 2026] 1 item(s) passed (helios-tests fullrack-switch-nd-filtered, g02-g17-20261014-092828, g02-g17-20261014-170350, g02-g17-20261014-170910)
Earlier: 403 for read-only RBAC user.</t>
        </is>
      </c>
      <c r="I65" s="21" t="inlineStr">
        <is>
          <t>AFM API</t>
        </is>
      </c>
      <c r="J65" s="21" t="inlineStr">
        <is>
          <t>Switch (AFM API)</t>
        </is>
      </c>
      <c r="K65" s="21" t="inlineStr">
        <is>
          <t>BKC-26.12 plan</t>
        </is>
      </c>
      <c r="L65" s="21" t="inlineStr">
        <is>
          <t>Non-disruptive</t>
        </is>
      </c>
    </row>
    <row r="66" hidden="1" ht="16" customHeight="1" s="33">
      <c r="A66" s="7" t="inlineStr">
        <is>
          <t>TC-AFM-RC-026</t>
        </is>
      </c>
      <c r="B66" s="7" t="inlineStr">
        <is>
          <t>L2</t>
        </is>
      </c>
      <c r="C66" s="8" t="inlineStr">
        <is>
          <t>Reconfigure in Degraded vPOD</t>
        </is>
      </c>
      <c r="D66" t="inlineStr">
        <is>
          <t>Yes</t>
        </is>
      </c>
      <c r="F66" t="inlineStr">
        <is>
          <t>PARTIAL</t>
        </is>
      </c>
      <c r="G66" t="inlineStr">
        <is>
          <t>AFM 0.1.0-AICC-817</t>
        </is>
      </c>
      <c r="H66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Executed on full rack.</t>
        </is>
      </c>
      <c r="I66" s="21" t="inlineStr">
        <is>
          <t>AFM API (disruptive)</t>
        </is>
      </c>
      <c r="J66" s="21" t="inlineStr">
        <is>
          <t>Switch (AFM API)</t>
        </is>
      </c>
      <c r="K66" s="21" t="inlineStr">
        <is>
          <t>BKC-26.12 plan</t>
        </is>
      </c>
      <c r="L66" s="21" t="inlineStr">
        <is>
          <t>Disruptive</t>
        </is>
      </c>
    </row>
    <row r="67" hidden="1" ht="16" customHeight="1" s="33">
      <c r="A67" s="7" t="inlineStr">
        <is>
          <t>TC-AFM-RC-028</t>
        </is>
      </c>
      <c r="B67" s="7" t="inlineStr">
        <is>
          <t>L2</t>
        </is>
      </c>
      <c r="C67" s="8" t="inlineStr">
        <is>
          <t>Reconfigure With Blacklisted GPU Ports</t>
        </is>
      </c>
      <c r="D67" t="inlineStr">
        <is>
          <t>Yes</t>
        </is>
      </c>
      <c r="F67" t="inlineStr">
        <is>
          <t>PARTIAL</t>
        </is>
      </c>
      <c r="G67" t="inlineStr">
        <is>
          <t>AFM 0.1.0-AICC-817</t>
        </is>
      </c>
      <c r="H67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Not applicable on this run: no administratively drained (blacklisted) ports.</t>
        </is>
      </c>
      <c r="I67" s="21" t="inlineStr">
        <is>
          <t>AFM API (disruptive)</t>
        </is>
      </c>
      <c r="J67" s="21" t="inlineStr">
        <is>
          <t>Switch (AFM API)</t>
        </is>
      </c>
      <c r="K67" s="21" t="inlineStr">
        <is>
          <t>BKC-26.12 plan</t>
        </is>
      </c>
      <c r="L67" s="21" t="inlineStr">
        <is>
          <t>Disruptive</t>
        </is>
      </c>
    </row>
    <row r="68" hidden="1" ht="16" customHeight="1" s="33">
      <c r="A68" s="7" t="inlineStr">
        <is>
          <t>TC-AFM-053</t>
        </is>
      </c>
      <c r="B68" s="7" t="inlineStr">
        <is>
          <t>L2</t>
        </is>
      </c>
      <c r="C68" s="8" t="inlineStr">
        <is>
          <t>Metrics Validation</t>
        </is>
      </c>
      <c r="D68" t="inlineStr">
        <is>
          <t>Yes</t>
        </is>
      </c>
      <c r="F68" t="inlineStr">
        <is>
          <t>PASS</t>
        </is>
      </c>
      <c r="G68" t="inlineStr">
        <is>
          <t>SONiC.202505I20260915070938_x100.15; afm-agent/controller 202505I20260915070938_x100.15</t>
        </is>
      </c>
      <c r="H68" s="21" t="inlineStr">
        <is>
          <t>[g02-g17 full rack, non-disruptive switch + AFM API, 14 Oct 2026] 1 item(s) passed (helios-tests fullrack-switch-nd-filtered, g02-g17-20261014-092828, g02-g17-20261014-170350, g02-g17-20261014-170910)
Earlier: PASS after InDiscards was added to KI-F07-005: 20/20 fields, 10 XFAIL (per-port stats not implemented).</t>
        </is>
      </c>
      <c r="I68" s="21" t="inlineStr">
        <is>
          <t>AFM API</t>
        </is>
      </c>
      <c r="J68" s="21" t="inlineStr">
        <is>
          <t>Switch (AFM API)</t>
        </is>
      </c>
      <c r="K68" s="21" t="inlineStr">
        <is>
          <t>BKC-26.12 plan</t>
        </is>
      </c>
      <c r="L68" s="21" t="inlineStr">
        <is>
          <t>Non-disruptive</t>
        </is>
      </c>
    </row>
    <row r="69" hidden="1" ht="32" customHeight="1" s="33">
      <c r="A69" s="7" t="inlineStr">
        <is>
          <t>TC-AFM-AGGW-001</t>
        </is>
      </c>
      <c r="B69" s="7" t="inlineStr">
        <is>
          <t>L3</t>
        </is>
      </c>
      <c r="C69" s="8" t="inlineStr">
        <is>
          <t>Connect with valid session cookie</t>
        </is>
      </c>
      <c r="D69" t="inlineStr">
        <is>
          <t>Yes</t>
        </is>
      </c>
      <c r="F69" t="inlineStr">
        <is>
          <t>PASS</t>
        </is>
      </c>
      <c r="G69" t="inlineStr">
        <is>
          <t>SONiC.202505I20260915070938_x100.15; afm-agent/controller 202505I20260915070938_x100.15</t>
        </is>
      </c>
      <c r="H69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69" s="21" t="inlineStr">
        <is>
          <t>AFM API</t>
        </is>
      </c>
      <c r="J69" s="21" t="inlineStr">
        <is>
          <t>Switch (AFM API)</t>
        </is>
      </c>
      <c r="K69" s="21" t="inlineStr">
        <is>
          <t>BKC-26.12 plan</t>
        </is>
      </c>
      <c r="L69" t="inlineStr">
        <is>
          <t>Non-disruptive</t>
        </is>
      </c>
    </row>
    <row r="70" hidden="1" ht="32" customHeight="1" s="33">
      <c r="A70" s="7" t="inlineStr">
        <is>
          <t>TC-AFM-AGGW-002</t>
        </is>
      </c>
      <c r="B70" s="7" t="inlineStr">
        <is>
          <t>L3</t>
        </is>
      </c>
      <c r="C70" s="8" t="inlineStr">
        <is>
          <t>Connect with Bearer token</t>
        </is>
      </c>
      <c r="D70" t="inlineStr">
        <is>
          <t>Yes</t>
        </is>
      </c>
      <c r="F70" t="inlineStr">
        <is>
          <t>Skipped</t>
        </is>
      </c>
      <c r="G70" t="inlineStr">
        <is>
          <t>SONiC.202505I20260915070938_x100.15; afm-agent/controller 202505I20260915070938_x100.15</t>
        </is>
      </c>
      <c r="H70" t="inlineStr">
        <is>
          <t>[g02-g17 full rack, non-disruptive switch + AFM API, 14 Oct 2026] Skipped: no AFM bearer token configured (thresholds.afm.bearer_token_env not set) - needs a bearer token for the AFM API to run (helios-tests g02-g17-20261014-092828).</t>
        </is>
      </c>
      <c r="I70" s="21" t="inlineStr">
        <is>
          <t>AFM API</t>
        </is>
      </c>
      <c r="J70" s="21" t="inlineStr">
        <is>
          <t>Switch (AFM API)</t>
        </is>
      </c>
      <c r="K70" s="21" t="inlineStr">
        <is>
          <t>BKC-26.12 plan</t>
        </is>
      </c>
      <c r="L70" t="inlineStr">
        <is>
          <t>Non-disruptive</t>
        </is>
      </c>
    </row>
    <row r="71" hidden="1" ht="32" customHeight="1" s="33">
      <c r="A71" s="7" t="inlineStr">
        <is>
          <t>TC-AFM-AGGW-003</t>
        </is>
      </c>
      <c r="B71" s="7" t="inlineStr">
        <is>
          <t>L2</t>
        </is>
      </c>
      <c r="C71" s="8" t="inlineStr">
        <is>
          <t>Reject unauthenticated connection</t>
        </is>
      </c>
      <c r="D71" t="inlineStr">
        <is>
          <t>Yes</t>
        </is>
      </c>
      <c r="F71" t="inlineStr">
        <is>
          <t>PASS</t>
        </is>
      </c>
      <c r="G71" t="inlineStr">
        <is>
          <t>SONiC.202505I20260915070938_x100.15; afm-agent/controller 202505I20260915070938_x100.15</t>
        </is>
      </c>
      <c r="H71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71" s="21" t="inlineStr">
        <is>
          <t>AFM API</t>
        </is>
      </c>
      <c r="J71" s="21" t="inlineStr">
        <is>
          <t>Switch (AFM API)</t>
        </is>
      </c>
      <c r="K71" s="21" t="inlineStr">
        <is>
          <t>BKC-26.12 plan</t>
        </is>
      </c>
      <c r="L71" t="inlineStr">
        <is>
          <t>Non-disruptive</t>
        </is>
      </c>
    </row>
    <row r="72" hidden="1" ht="32" customHeight="1" s="33">
      <c r="A72" s="7" t="inlineStr">
        <is>
          <t>TC-AFM-AGGW-004</t>
        </is>
      </c>
      <c r="B72" s="7" t="inlineStr">
        <is>
          <t>L2</t>
        </is>
      </c>
      <c r="C72" s="8" t="inlineStr">
        <is>
          <t>Reject expired session</t>
        </is>
      </c>
      <c r="D72" t="inlineStr">
        <is>
          <t>Yes</t>
        </is>
      </c>
      <c r="F72" t="inlineStr">
        <is>
          <t>PASS</t>
        </is>
      </c>
      <c r="G72" t="inlineStr">
        <is>
          <t>SONiC.202505I20260915070938_x100.15; afm-agent/controller 202505I20260915070938_x100.15</t>
        </is>
      </c>
      <c r="H72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72" s="21" t="inlineStr">
        <is>
          <t>AFM API</t>
        </is>
      </c>
      <c r="J72" s="21" t="inlineStr">
        <is>
          <t>Switch (AFM API)</t>
        </is>
      </c>
      <c r="K72" s="21" t="inlineStr">
        <is>
          <t>BKC-26.12 plan</t>
        </is>
      </c>
      <c r="L72" t="inlineStr">
        <is>
          <t>Non-disruptive</t>
        </is>
      </c>
    </row>
    <row r="73" hidden="1" ht="32" customHeight="1" s="33">
      <c r="A73" s="7" t="inlineStr">
        <is>
          <t>TC-AFM-AGGW-005</t>
        </is>
      </c>
      <c r="B73" s="7" t="inlineStr">
        <is>
          <t>L2</t>
        </is>
      </c>
      <c r="C73" s="8" t="inlineStr">
        <is>
          <t>Watch a single resource kind</t>
        </is>
      </c>
      <c r="D73" t="inlineStr">
        <is>
          <t>Yes</t>
        </is>
      </c>
      <c r="F73" t="inlineStr">
        <is>
          <t>PASS</t>
        </is>
      </c>
      <c r="G73" t="inlineStr">
        <is>
          <t>SONiC.202505I20260915070938_x100.15; afm-agent/controller 202505I20260915070938_x100.15</t>
        </is>
      </c>
      <c r="H73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73" s="21" t="inlineStr">
        <is>
          <t>AFM API</t>
        </is>
      </c>
      <c r="J73" s="21" t="inlineStr">
        <is>
          <t>Switch (AFM API)</t>
        </is>
      </c>
      <c r="K73" s="21" t="inlineStr">
        <is>
          <t>BKC-26.12 plan</t>
        </is>
      </c>
      <c r="L73" t="inlineStr">
        <is>
          <t>Non-disruptive</t>
        </is>
      </c>
    </row>
    <row r="74" hidden="1" ht="32" customHeight="1" s="33">
      <c r="A74" s="7" t="inlineStr">
        <is>
          <t>TC-AFM-AGGW-006</t>
        </is>
      </c>
      <c r="B74" s="7" t="inlineStr">
        <is>
          <t>L2</t>
        </is>
      </c>
      <c r="C74" s="8" t="inlineStr">
        <is>
          <t>Watch multiple resource kinds on one connection</t>
        </is>
      </c>
      <c r="D74" t="inlineStr">
        <is>
          <t>Yes</t>
        </is>
      </c>
      <c r="F74" t="inlineStr">
        <is>
          <t>PASS</t>
        </is>
      </c>
      <c r="G74" t="inlineStr">
        <is>
          <t>SONiC.202505I20260915070938_x100.15; afm-agent/controller 202505I20260915070938_x100.15</t>
        </is>
      </c>
      <c r="H74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74" s="21" t="inlineStr">
        <is>
          <t>AFM API</t>
        </is>
      </c>
      <c r="J74" s="21" t="inlineStr">
        <is>
          <t>Switch (AFM API)</t>
        </is>
      </c>
      <c r="K74" s="21" t="inlineStr">
        <is>
          <t>BKC-26.12 plan</t>
        </is>
      </c>
      <c r="L74" t="inlineStr">
        <is>
          <t>Non-disruptive</t>
        </is>
      </c>
    </row>
    <row r="75" hidden="1" ht="32" customHeight="1" s="33">
      <c r="A75" s="7" t="inlineStr">
        <is>
          <t>TC-AFM-AGGW-007</t>
        </is>
      </c>
      <c r="B75" s="7" t="inlineStr">
        <is>
          <t>L2</t>
        </is>
      </c>
      <c r="C75" s="8" t="inlineStr">
        <is>
          <t>Watch with invalid resource kind</t>
        </is>
      </c>
      <c r="D75" t="inlineStr">
        <is>
          <t>Yes</t>
        </is>
      </c>
      <c r="F75" t="inlineStr">
        <is>
          <t>PASS</t>
        </is>
      </c>
      <c r="G75" t="inlineStr">
        <is>
          <t>SONiC.202505I20260915070938_x100.15; afm-agent/controller 202505I20260915070938_x100.15</t>
        </is>
      </c>
      <c r="H75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75" s="21" t="inlineStr">
        <is>
          <t>AFM API</t>
        </is>
      </c>
      <c r="J75" s="21" t="inlineStr">
        <is>
          <t>Switch (AFM API)</t>
        </is>
      </c>
      <c r="K75" s="21" t="inlineStr">
        <is>
          <t>BKC-26.12 plan</t>
        </is>
      </c>
      <c r="L75" t="inlineStr">
        <is>
          <t>Non-disruptive</t>
        </is>
      </c>
    </row>
    <row r="76" hidden="1" ht="32" customHeight="1" s="33">
      <c r="A76" s="7" t="inlineStr">
        <is>
          <t>TC-AFM-AGGW-008</t>
        </is>
      </c>
      <c r="B76" s="7" t="inlineStr">
        <is>
          <t>L2</t>
        </is>
      </c>
      <c r="C76" s="8" t="inlineStr">
        <is>
          <t>Send empty watch options</t>
        </is>
      </c>
      <c r="D76" t="inlineStr">
        <is>
          <t>Yes</t>
        </is>
      </c>
      <c r="F76" t="inlineStr">
        <is>
          <t>PASS</t>
        </is>
      </c>
      <c r="G76" t="inlineStr">
        <is>
          <t>SONiC.202505I20260915070938_x100.15; afm-agent/controller 202505I20260915070938_x100.15</t>
        </is>
      </c>
      <c r="H76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76" s="21" t="inlineStr">
        <is>
          <t>AFM API</t>
        </is>
      </c>
      <c r="J76" s="21" t="inlineStr">
        <is>
          <t>Switch (AFM API)</t>
        </is>
      </c>
      <c r="K76" s="21" t="inlineStr">
        <is>
          <t>BKC-26.12 plan</t>
        </is>
      </c>
      <c r="L76" t="inlineStr">
        <is>
          <t>Non-disruptive</t>
        </is>
      </c>
    </row>
    <row r="77" hidden="1" ht="32" customHeight="1" s="33">
      <c r="A77" s="7" t="inlineStr">
        <is>
          <t>TC-AFM-AGGW-009</t>
        </is>
      </c>
      <c r="B77" s="7" t="inlineStr">
        <is>
          <t>L2</t>
        </is>
      </c>
      <c r="C77" s="8" t="inlineStr">
        <is>
          <t>Watch with resource-version filter</t>
        </is>
      </c>
      <c r="D77" t="inlineStr">
        <is>
          <t>Yes</t>
        </is>
      </c>
      <c r="F77" t="inlineStr">
        <is>
          <t>PASS</t>
        </is>
      </c>
      <c r="G77" t="inlineStr">
        <is>
          <t>SONiC.202505I20260915070938_x100.15; afm-agent/controller 202505I20260915070938_x100.15</t>
        </is>
      </c>
      <c r="H77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77" s="21" t="inlineStr">
        <is>
          <t>AFM API</t>
        </is>
      </c>
      <c r="J77" s="21" t="inlineStr">
        <is>
          <t>Switch (AFM API)</t>
        </is>
      </c>
      <c r="K77" s="21" t="inlineStr">
        <is>
          <t>BKC-26.12 plan</t>
        </is>
      </c>
      <c r="L77" t="inlineStr">
        <is>
          <t>Non-disruptive</t>
        </is>
      </c>
    </row>
    <row r="78" hidden="1" ht="32" customHeight="1" s="33">
      <c r="A78" s="7" t="inlineStr">
        <is>
          <t>TC-AFM-AGGW-010</t>
        </is>
      </c>
      <c r="B78" s="7" t="inlineStr">
        <is>
          <t>L2</t>
        </is>
      </c>
      <c r="C78" s="8" t="inlineStr">
        <is>
          <t>Receive Created event on object creation</t>
        </is>
      </c>
      <c r="D78" t="inlineStr">
        <is>
          <t>Yes</t>
        </is>
      </c>
      <c r="F78" t="inlineStr">
        <is>
          <t>PASS</t>
        </is>
      </c>
      <c r="G78" t="inlineStr">
        <is>
          <t>SONiC.202505I20260915070938_x100.15; afm-agent/controller 202505I20260915070938_x100.15</t>
        </is>
      </c>
      <c r="H78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78" s="21" t="inlineStr">
        <is>
          <t>AFM API</t>
        </is>
      </c>
      <c r="J78" s="21" t="inlineStr">
        <is>
          <t>Switch (AFM API)</t>
        </is>
      </c>
      <c r="K78" s="21" t="inlineStr">
        <is>
          <t>BKC-26.12 plan</t>
        </is>
      </c>
      <c r="L78" t="inlineStr">
        <is>
          <t>Non-disruptive</t>
        </is>
      </c>
    </row>
    <row r="79" hidden="1" ht="32" customHeight="1" s="33">
      <c r="A79" s="7" t="inlineStr">
        <is>
          <t>TC-AFM-AGGW-011</t>
        </is>
      </c>
      <c r="B79" s="7" t="inlineStr">
        <is>
          <t>L2</t>
        </is>
      </c>
      <c r="C79" s="8" t="inlineStr">
        <is>
          <t>Receive Updated event on object modification</t>
        </is>
      </c>
      <c r="D79" t="inlineStr">
        <is>
          <t>Yes</t>
        </is>
      </c>
      <c r="F79" t="inlineStr">
        <is>
          <t>PASS</t>
        </is>
      </c>
      <c r="G79" t="inlineStr">
        <is>
          <t>SONiC.202505I20260915070938_x100.15; afm-agent/controller 202505I20260915070938_x100.15</t>
        </is>
      </c>
      <c r="H79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79" s="21" t="inlineStr">
        <is>
          <t>AFM API</t>
        </is>
      </c>
      <c r="J79" s="21" t="inlineStr">
        <is>
          <t>Switch (AFM API)</t>
        </is>
      </c>
      <c r="K79" s="21" t="inlineStr">
        <is>
          <t>BKC-26.12 plan</t>
        </is>
      </c>
      <c r="L79" t="inlineStr">
        <is>
          <t>Non-disruptive</t>
        </is>
      </c>
    </row>
    <row r="80" hidden="1" ht="32" customHeight="1" s="33">
      <c r="A80" s="7" t="inlineStr">
        <is>
          <t>TC-AFM-AGGW-012</t>
        </is>
      </c>
      <c r="B80" s="7" t="inlineStr">
        <is>
          <t>L2</t>
        </is>
      </c>
      <c r="C80" s="8" t="inlineStr">
        <is>
          <t>Receive Deleted event on object deletion</t>
        </is>
      </c>
      <c r="D80" t="inlineStr">
        <is>
          <t>Yes</t>
        </is>
      </c>
      <c r="F80" t="inlineStr">
        <is>
          <t>PASS</t>
        </is>
      </c>
      <c r="G80" t="inlineStr">
        <is>
          <t>SONiC.202505I20260915070938_x100.15; afm-agent/controller 202505I20260915070938_x100.15</t>
        </is>
      </c>
      <c r="H80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80" s="21" t="inlineStr">
        <is>
          <t>AFM API</t>
        </is>
      </c>
      <c r="J80" s="21" t="inlineStr">
        <is>
          <t>Switch (AFM API)</t>
        </is>
      </c>
      <c r="K80" s="21" t="inlineStr">
        <is>
          <t>BKC-26.12 plan</t>
        </is>
      </c>
      <c r="L80" t="inlineStr">
        <is>
          <t>Non-disruptive</t>
        </is>
      </c>
    </row>
    <row r="81" hidden="1" ht="32" customHeight="1" s="33">
      <c r="A81" s="7" t="inlineStr">
        <is>
          <t>TC-AFM-AGGW-013</t>
        </is>
      </c>
      <c r="B81" s="7" t="inlineStr">
        <is>
          <t>L2</t>
        </is>
      </c>
      <c r="C81" s="8" t="inlineStr">
        <is>
          <t>Multi-kind CRUD event stream</t>
        </is>
      </c>
      <c r="D81" t="inlineStr">
        <is>
          <t>Yes</t>
        </is>
      </c>
      <c r="F81" t="inlineStr">
        <is>
          <t>PASS</t>
        </is>
      </c>
      <c r="G81" t="inlineStr">
        <is>
          <t>SONiC.202505I20260915070938_x100.15; afm-agent/controller 202505I20260915070938_x100.15</t>
        </is>
      </c>
      <c r="H81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81" s="21" t="inlineStr">
        <is>
          <t>AFM API</t>
        </is>
      </c>
      <c r="J81" s="21" t="inlineStr">
        <is>
          <t>Switch (AFM API)</t>
        </is>
      </c>
      <c r="K81" s="21" t="inlineStr">
        <is>
          <t>BKC-26.12 plan</t>
        </is>
      </c>
      <c r="L81" t="inlineStr">
        <is>
          <t>Non-disruptive</t>
        </is>
      </c>
    </row>
    <row r="82" hidden="1" ht="32" customHeight="1" s="33">
      <c r="A82" s="7" t="inlineStr">
        <is>
          <t>TC-AFM-AGGW-014</t>
        </is>
      </c>
      <c r="B82" s="7" t="inlineStr">
        <is>
          <t>L2</t>
        </is>
      </c>
      <c r="C82" s="8" t="inlineStr">
        <is>
          <t>Admin user receives all events</t>
        </is>
      </c>
      <c r="D82" t="inlineStr">
        <is>
          <t>Yes</t>
        </is>
      </c>
      <c r="F82" t="inlineStr">
        <is>
          <t>PASS</t>
        </is>
      </c>
      <c r="G82" t="inlineStr">
        <is>
          <t>SONiC.202505I20260915070938_x100.15; afm-agent/controller 202505I20260915070938_x100.15</t>
        </is>
      </c>
      <c r="H82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82" s="21" t="inlineStr">
        <is>
          <t>AFM API</t>
        </is>
      </c>
      <c r="J82" s="21" t="inlineStr">
        <is>
          <t>Switch (AFM API)</t>
        </is>
      </c>
      <c r="K82" s="21" t="inlineStr">
        <is>
          <t>BKC-26.12 plan</t>
        </is>
      </c>
      <c r="L82" t="inlineStr">
        <is>
          <t>Non-disruptive</t>
        </is>
      </c>
    </row>
    <row r="83" hidden="1" ht="32" customHeight="1" s="33">
      <c r="A83" s="7" t="inlineStr">
        <is>
          <t>TC-AFM-AGGW-015</t>
        </is>
      </c>
      <c r="B83" s="7" t="inlineStr">
        <is>
          <t>L2</t>
        </is>
      </c>
      <c r="C83" s="8" t="inlineStr">
        <is>
          <t>Restricted user receives only permitted events</t>
        </is>
      </c>
      <c r="D83" t="inlineStr">
        <is>
          <t>Yes</t>
        </is>
      </c>
      <c r="F83" t="inlineStr">
        <is>
          <t>PASS</t>
        </is>
      </c>
      <c r="G83" t="inlineStr">
        <is>
          <t>SONiC.202505I20260915070938_x100.15; afm-agent/controller 202505I20260915070938_x100.15</t>
        </is>
      </c>
      <c r="H83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83" s="21" t="inlineStr">
        <is>
          <t>AFM API</t>
        </is>
      </c>
      <c r="J83" s="21" t="inlineStr">
        <is>
          <t>Switch (AFM API)</t>
        </is>
      </c>
      <c r="K83" s="21" t="inlineStr">
        <is>
          <t>BKC-26.12 plan</t>
        </is>
      </c>
      <c r="L83" t="inlineStr">
        <is>
          <t>Non-disruptive</t>
        </is>
      </c>
    </row>
    <row r="84" hidden="1" ht="32" customHeight="1" s="33">
      <c r="A84" s="7" t="inlineStr">
        <is>
          <t>TC-AFM-AGGW-016</t>
        </is>
      </c>
      <c r="B84" s="7" t="inlineStr">
        <is>
          <t>L2</t>
        </is>
      </c>
      <c r="C84" s="8" t="inlineStr">
        <is>
          <t>Restricted user blocked from watching unpermitted kinds</t>
        </is>
      </c>
      <c r="D84" t="inlineStr">
        <is>
          <t>Yes</t>
        </is>
      </c>
      <c r="F84" t="inlineStr">
        <is>
          <t>PASS</t>
        </is>
      </c>
      <c r="G84" t="inlineStr">
        <is>
          <t>SONiC.202505I20260915070938_x100.15; afm-agent/controller 202505I20260915070938_x100.15</t>
        </is>
      </c>
      <c r="H84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84" s="21" t="inlineStr">
        <is>
          <t>AFM API</t>
        </is>
      </c>
      <c r="J84" s="21" t="inlineStr">
        <is>
          <t>Switch (AFM API)</t>
        </is>
      </c>
      <c r="K84" s="21" t="inlineStr">
        <is>
          <t>BKC-26.12 plan</t>
        </is>
      </c>
      <c r="L84" t="inlineStr">
        <is>
          <t>Non-disruptive</t>
        </is>
      </c>
    </row>
    <row r="85" hidden="1" ht="32" customHeight="1" s="33">
      <c r="A85" s="7" t="inlineStr">
        <is>
          <t>TC-AFM-AGGW-031</t>
        </is>
      </c>
      <c r="B85" s="7" t="inlineStr">
        <is>
          <t>L2</t>
        </is>
      </c>
      <c r="C85" s="8" t="inlineStr">
        <is>
          <t>Per-object RBAC — user sees only permitted objects within a kind</t>
        </is>
      </c>
      <c r="D85" t="inlineStr">
        <is>
          <t>No</t>
        </is>
      </c>
      <c r="F85" t="inlineStr">
        <is>
          <t>NA</t>
        </is>
      </c>
      <c r="H85" t="inlineStr">
        <is>
          <t>[Not automated, 15 Oct 2026] Reason: the plan gives no procedure or pass criteria. Needed (from AMD / lab): AGGW-031: which role field restricts a user to individual objects within a kind? (details: docs/amd-inputs.html in helios-tests)</t>
        </is>
      </c>
      <c r="I85" s="21" t="inlineStr">
        <is>
          <t>AFM API (est.)</t>
        </is>
      </c>
      <c r="J85" s="21" t="inlineStr">
        <is>
          <t>Switch (AFM API)</t>
        </is>
      </c>
      <c r="K85" s="21" t="inlineStr">
        <is>
          <t>BKC-26.12 plan</t>
        </is>
      </c>
      <c r="L85" t="inlineStr">
        <is>
          <t>Non-disruptive (est.)</t>
        </is>
      </c>
    </row>
    <row r="86" hidden="1" ht="48" customHeight="1" s="33">
      <c r="A86" s="7" t="inlineStr">
        <is>
          <t>TC-AFM-AGGW-017</t>
        </is>
      </c>
      <c r="B86" s="7" t="inlineStr">
        <is>
          <t>L2</t>
        </is>
      </c>
      <c r="C86" s="8" t="inlineStr">
        <is>
          <t>AggWatch connection generates audit event</t>
        </is>
      </c>
      <c r="D86" t="inlineStr">
        <is>
          <t>Yes</t>
        </is>
      </c>
      <c r="F86" t="inlineStr">
        <is>
          <t>FAIL</t>
        </is>
      </c>
      <c r="G86" t="inlineStr">
        <is>
          <t>SONiC.202505I20260915070938_x100.15; afm-agent/controller 202505I20260915070938_x100.15</t>
        </is>
      </c>
      <c r="H86" s="21" t="inlineStr">
        <is>
          <t>[g02-g17 full rack, non-disruptive switch + AFM API, 14 Oct 2026] no audit event mentioning the watch for admin (helios-tests fullrack-switch-nd-filtered, g02-g17-20261014-092828, g02-g17-20261014-170350, g02-g17-20261014-170910)</t>
        </is>
      </c>
      <c r="I86" s="21" t="inlineStr">
        <is>
          <t>AFM API</t>
        </is>
      </c>
      <c r="J86" s="21" t="inlineStr">
        <is>
          <t>Switch (AFM API)</t>
        </is>
      </c>
      <c r="K86" s="21" t="inlineStr">
        <is>
          <t>BKC-26.12 plan</t>
        </is>
      </c>
      <c r="L86" t="inlineStr">
        <is>
          <t>Non-disruptive</t>
        </is>
      </c>
    </row>
    <row r="87" hidden="1" ht="48" customHeight="1" s="33">
      <c r="A87" s="7" t="inlineStr">
        <is>
          <t>TC-AFM-AGGW-018</t>
        </is>
      </c>
      <c r="B87" s="7" t="inlineStr">
        <is>
          <t>L2</t>
        </is>
      </c>
      <c r="C87" s="8" t="inlineStr">
        <is>
          <t>Audit event records watched resource types</t>
        </is>
      </c>
      <c r="D87" t="inlineStr">
        <is>
          <t>Yes</t>
        </is>
      </c>
      <c r="F87" t="inlineStr">
        <is>
          <t>FAIL</t>
        </is>
      </c>
      <c r="G87" t="inlineStr">
        <is>
          <t>SONiC.202505I20260915070938_x100.15; afm-agent/controller 202505I20260915070938_x100.15</t>
        </is>
      </c>
      <c r="H87" s="21" t="inlineStr">
        <is>
          <t>[g02-g17 full rack, non-disruptive switch + AFM API, 14 Oct 2026] audit record does not mention watched kind cluster/ComputeNode; audit record does not mention watched kind monitoring/AlertPolicy (helios-tests fullrack-switch-nd-filtered, g02-g17-20261014-092828, g02-g17-20261014-170350, g02-g17-20261014-170910)</t>
        </is>
      </c>
      <c r="I87" s="21" t="inlineStr">
        <is>
          <t>AFM API</t>
        </is>
      </c>
      <c r="J87" s="21" t="inlineStr">
        <is>
          <t>Switch (AFM API)</t>
        </is>
      </c>
      <c r="K87" s="21" t="inlineStr">
        <is>
          <t>BKC-26.12 plan</t>
        </is>
      </c>
      <c r="L87" t="inlineStr">
        <is>
          <t>Non-disruptive</t>
        </is>
      </c>
    </row>
    <row r="88" hidden="1" ht="32" customHeight="1" s="33">
      <c r="A88" s="7" t="inlineStr">
        <is>
          <t>TC-AFM-AGGW-019</t>
        </is>
      </c>
      <c r="B88" s="7" t="inlineStr">
        <is>
          <t>L2</t>
        </is>
      </c>
      <c r="C88" s="8" t="inlineStr">
        <is>
          <t>Client-initiated disconnect</t>
        </is>
      </c>
      <c r="D88" t="inlineStr">
        <is>
          <t>Yes</t>
        </is>
      </c>
      <c r="F88" t="inlineStr">
        <is>
          <t>PASS</t>
        </is>
      </c>
      <c r="G88" t="inlineStr">
        <is>
          <t>SONiC.202505I20260915070938_x100.15; afm-agent/controller 202505I20260915070938_x100.15</t>
        </is>
      </c>
      <c r="H88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88" s="21" t="inlineStr">
        <is>
          <t>AFM API</t>
        </is>
      </c>
      <c r="J88" s="21" t="inlineStr">
        <is>
          <t>Switch (AFM API)</t>
        </is>
      </c>
      <c r="K88" s="21" t="inlineStr">
        <is>
          <t>BKC-26.12 plan</t>
        </is>
      </c>
      <c r="L88" t="inlineStr">
        <is>
          <t>Non-disruptive</t>
        </is>
      </c>
    </row>
    <row r="89" hidden="1" ht="32" customHeight="1" s="33">
      <c r="A89" s="7" t="inlineStr">
        <is>
          <t>TC-AFM-AGGW-020</t>
        </is>
      </c>
      <c r="B89" s="7" t="inlineStr">
        <is>
          <t>L2</t>
        </is>
      </c>
      <c r="C89" s="8" t="inlineStr">
        <is>
          <t>Idle connection stays alive</t>
        </is>
      </c>
      <c r="D89" t="inlineStr">
        <is>
          <t>Yes</t>
        </is>
      </c>
      <c r="F89" t="inlineStr">
        <is>
          <t>PASS</t>
        </is>
      </c>
      <c r="G89" t="inlineStr">
        <is>
          <t>SONiC.202505I20260915070938_x100.15; afm-agent/controller 202505I20260915070938_x100.15</t>
        </is>
      </c>
      <c r="H89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89" s="21" t="inlineStr">
        <is>
          <t>AFM API</t>
        </is>
      </c>
      <c r="J89" s="21" t="inlineStr">
        <is>
          <t>Switch (AFM API)</t>
        </is>
      </c>
      <c r="K89" s="21" t="inlineStr">
        <is>
          <t>BKC-26.12 plan</t>
        </is>
      </c>
      <c r="L89" t="inlineStr">
        <is>
          <t>Non-disruptive</t>
        </is>
      </c>
    </row>
    <row r="90" hidden="1" ht="32" customHeight="1" s="33">
      <c r="A90" s="7" t="inlineStr">
        <is>
          <t>TC-AFM-AGGW-021</t>
        </is>
      </c>
      <c r="B90" s="7" t="inlineStr">
        <is>
          <t>L2</t>
        </is>
      </c>
      <c r="C90" s="8" t="inlineStr">
        <is>
          <t>Multiple concurrent AggWatch connections</t>
        </is>
      </c>
      <c r="D90" t="inlineStr">
        <is>
          <t>Yes</t>
        </is>
      </c>
      <c r="F90" t="inlineStr">
        <is>
          <t>PASS</t>
        </is>
      </c>
      <c r="G90" t="inlineStr">
        <is>
          <t>SONiC.202505I20260915070938_x100.15; afm-agent/controller 202505I20260915070938_x100.15</t>
        </is>
      </c>
      <c r="H90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90" s="21" t="inlineStr">
        <is>
          <t>AFM API</t>
        </is>
      </c>
      <c r="J90" s="21" t="inlineStr">
        <is>
          <t>Switch (AFM API)</t>
        </is>
      </c>
      <c r="K90" s="21" t="inlineStr">
        <is>
          <t>BKC-26.12 plan</t>
        </is>
      </c>
      <c r="L90" t="inlineStr">
        <is>
          <t>Non-disruptive</t>
        </is>
      </c>
    </row>
    <row r="91" hidden="1" ht="32" customHeight="1" s="33">
      <c r="A91" s="7" t="inlineStr">
        <is>
          <t>TC-AFM-AGGW-022</t>
        </is>
      </c>
      <c r="B91" s="7" t="inlineStr">
        <is>
          <t>L2</t>
        </is>
      </c>
      <c r="C91" s="8" t="inlineStr">
        <is>
          <t>Reconnect after disconnect</t>
        </is>
      </c>
      <c r="D91" t="inlineStr">
        <is>
          <t>Yes</t>
        </is>
      </c>
      <c r="F91" t="inlineStr">
        <is>
          <t>PASS</t>
        </is>
      </c>
      <c r="G91" t="inlineStr">
        <is>
          <t>SONiC.202505I20260915070938_x100.15; afm-agent/controller 202505I20260915070938_x100.15</t>
        </is>
      </c>
      <c r="H91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91" s="21" t="inlineStr">
        <is>
          <t>AFM API</t>
        </is>
      </c>
      <c r="J91" s="21" t="inlineStr">
        <is>
          <t>Switch (AFM API)</t>
        </is>
      </c>
      <c r="K91" s="21" t="inlineStr">
        <is>
          <t>BKC-26.12 plan</t>
        </is>
      </c>
      <c r="L91" t="inlineStr">
        <is>
          <t>Non-disruptive</t>
        </is>
      </c>
    </row>
    <row r="92" hidden="1" ht="16" customHeight="1" s="33">
      <c r="A92" s="7" t="inlineStr">
        <is>
          <t>TC-AFM-AGGW-023</t>
        </is>
      </c>
      <c r="B92" s="7" t="inlineStr">
        <is>
          <t>L2</t>
        </is>
      </c>
      <c r="C92" s="8" t="inlineStr">
        <is>
          <t>AggWatch survives non-leader controller restart</t>
        </is>
      </c>
      <c r="D92" t="inlineStr">
        <is>
          <t>Yes</t>
        </is>
      </c>
      <c r="F92" t="inlineStr">
        <is>
          <t>PARTIAL</t>
        </is>
      </c>
      <c r="G92" t="inlineStr">
        <is>
          <t>AFM 0.1.0-AICC-817</t>
        </is>
      </c>
      <c r="H92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92" s="21" t="inlineStr">
        <is>
          <t>AFM API + switch SSH</t>
        </is>
      </c>
      <c r="J92" s="21" t="inlineStr">
        <is>
          <t>Switch</t>
        </is>
      </c>
      <c r="K92" s="21" t="inlineStr">
        <is>
          <t>BKC-26.12 plan</t>
        </is>
      </c>
      <c r="L92" t="inlineStr">
        <is>
          <t>Disruptive</t>
        </is>
      </c>
    </row>
    <row r="93" hidden="1" ht="16" customHeight="1" s="33">
      <c r="A93" s="7" t="inlineStr">
        <is>
          <t>TC-AFM-AGGW-024</t>
        </is>
      </c>
      <c r="B93" s="7" t="inlineStr">
        <is>
          <t>L2</t>
        </is>
      </c>
      <c r="C93" s="8" t="inlineStr">
        <is>
          <t>AggWatch behavior during leader failover</t>
        </is>
      </c>
      <c r="D93" t="inlineStr">
        <is>
          <t>Yes</t>
        </is>
      </c>
      <c r="F93" t="inlineStr">
        <is>
          <t>PARTIAL</t>
        </is>
      </c>
      <c r="G93" t="inlineStr">
        <is>
          <t>AFM 0.1.0-AICC-817</t>
        </is>
      </c>
      <c r="H9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93" s="21" t="inlineStr">
        <is>
          <t>AFM API + switch SSH</t>
        </is>
      </c>
      <c r="J93" s="21" t="inlineStr">
        <is>
          <t>Switch</t>
        </is>
      </c>
      <c r="K93" s="21" t="inlineStr">
        <is>
          <t>BKC-26.12 plan</t>
        </is>
      </c>
      <c r="L93" t="inlineStr">
        <is>
          <t>Disruptive</t>
        </is>
      </c>
    </row>
    <row r="94" hidden="1" ht="16" customHeight="1" s="33">
      <c r="A94" s="7" t="inlineStr">
        <is>
          <t>TC-AFM-AGGW-025</t>
        </is>
      </c>
      <c r="B94" s="7" t="inlineStr">
        <is>
          <t>L2</t>
        </is>
      </c>
      <c r="C94" s="8" t="inlineStr">
        <is>
          <t>Cross-origin WebSocket connection (CSWSH)</t>
        </is>
      </c>
      <c r="D94" t="inlineStr">
        <is>
          <t>Yes</t>
        </is>
      </c>
      <c r="F94" t="inlineStr">
        <is>
          <t>PASS</t>
        </is>
      </c>
      <c r="G94" t="inlineStr">
        <is>
          <t>SONiC.202505I20260915070938_x100.15; afm-agent/controller 202505I20260915070938_x100.15</t>
        </is>
      </c>
      <c r="H94" s="21" t="inlineStr">
        <is>
          <t>[g02-g17 full rack, non-disruptive switch + AFM API, 14 Oct 2026] 1 item(s) passed (helios-tests fullrack-switch-nd-filtered, g02-g17-20261014-092828, g02-g17-20261014-170350, g02-g17-20261014-170910)
Earlier: Cross-origin handshake rejected.</t>
        </is>
      </c>
      <c r="I94" s="21" t="inlineStr">
        <is>
          <t>AFM API</t>
        </is>
      </c>
      <c r="J94" s="21" t="inlineStr">
        <is>
          <t>Switch (AFM API)</t>
        </is>
      </c>
      <c r="K94" s="21" t="inlineStr">
        <is>
          <t>BKC-26.12 plan</t>
        </is>
      </c>
      <c r="L94" s="21" t="inlineStr">
        <is>
          <t>Non-disruptive</t>
        </is>
      </c>
    </row>
    <row r="95" hidden="1" ht="16" customHeight="1" s="33">
      <c r="A95" s="7" t="inlineStr">
        <is>
          <t>TC-AFM-AGGW-026</t>
        </is>
      </c>
      <c r="B95" s="7" t="inlineStr">
        <is>
          <t>L2</t>
        </is>
      </c>
      <c r="C95" s="8" t="inlineStr">
        <is>
          <t>Connect without sending watch options (hang test)</t>
        </is>
      </c>
      <c r="D95" t="inlineStr">
        <is>
          <t>Yes</t>
        </is>
      </c>
      <c r="F95" t="inlineStr">
        <is>
          <t>PASS</t>
        </is>
      </c>
      <c r="G95" t="inlineStr">
        <is>
          <t>SONiC.202505I20260915070938_x100.15; afm-agent/controller 202505I20260915070938_x100.15</t>
        </is>
      </c>
      <c r="H95" s="21" t="inlineStr">
        <is>
          <t>[g02-g17 full rack, non-disruptive switch + AFM API, 14 Oct 2026] 1 item(s) passed (helios-tests fullrack-switch-nd-filtered, g02-g17-20261014-092828, g02-g17-20261014-170350, g02-g17-20261014-170910)
Earlier: Server closes connection when no watch options are sent.</t>
        </is>
      </c>
      <c r="I95" s="21" t="inlineStr">
        <is>
          <t>AFM API</t>
        </is>
      </c>
      <c r="J95" s="21" t="inlineStr">
        <is>
          <t>Switch (AFM API)</t>
        </is>
      </c>
      <c r="K95" s="21" t="inlineStr">
        <is>
          <t>BKC-26.12 plan</t>
        </is>
      </c>
      <c r="L95" s="21" t="inlineStr">
        <is>
          <t>Non-disruptive</t>
        </is>
      </c>
    </row>
    <row r="96" hidden="1" ht="16" customHeight="1" s="33">
      <c r="A96" s="7" t="inlineStr">
        <is>
          <t>TC-AFM-AGGW-027</t>
        </is>
      </c>
      <c r="B96" s="7" t="inlineStr">
        <is>
          <t>L2</t>
        </is>
      </c>
      <c r="C96" s="8" t="inlineStr">
        <is>
          <t>Send malformed JSON as watch options</t>
        </is>
      </c>
      <c r="D96" t="inlineStr">
        <is>
          <t>Yes</t>
        </is>
      </c>
      <c r="F96" t="inlineStr">
        <is>
          <t>PASS</t>
        </is>
      </c>
      <c r="G96" t="inlineStr">
        <is>
          <t>SONiC.202505I20260915070938_x100.15; afm-agent/controller 202505I20260915070938_x100.15</t>
        </is>
      </c>
      <c r="H96" s="21" t="inlineStr">
        <is>
          <t>[g02-g17 full rack, non-disruptive switch + AFM API, 14 Oct 2026] 1 item(s) passed (helios-tests fullrack-switch-nd-filtered, g02-g17-20261014-092828, g02-g17-20261014-170350, g02-g17-20261014-170910)
Earlier: Malformed JSON -&gt; error event; new connection works.</t>
        </is>
      </c>
      <c r="I96" s="21" t="inlineStr">
        <is>
          <t>AFM API</t>
        </is>
      </c>
      <c r="J96" s="21" t="inlineStr">
        <is>
          <t>Switch (AFM API)</t>
        </is>
      </c>
      <c r="K96" s="21" t="inlineStr">
        <is>
          <t>BKC-26.12 plan</t>
        </is>
      </c>
      <c r="L96" s="21" t="inlineStr">
        <is>
          <t>Non-disruptive</t>
        </is>
      </c>
    </row>
    <row r="97" hidden="1" ht="16" customHeight="1" s="33">
      <c r="A97" s="7" t="inlineStr">
        <is>
          <t>TC-AFM-AGGW-028</t>
        </is>
      </c>
      <c r="B97" s="7" t="inlineStr">
        <is>
          <t>L2</t>
        </is>
      </c>
      <c r="C97" s="8" t="inlineStr">
        <is>
          <t>Rapid connect/disconnect cycle (resource leak)</t>
        </is>
      </c>
      <c r="D97" t="inlineStr">
        <is>
          <t>Yes</t>
        </is>
      </c>
      <c r="F97" t="inlineStr">
        <is>
          <t>PASS</t>
        </is>
      </c>
      <c r="G97" t="inlineStr">
        <is>
          <t>SONiC.202505I20260915070938_x100.15; afm-agent/controller 202505I20260915070938_x100.15</t>
        </is>
      </c>
      <c r="H97" s="21" t="inlineStr">
        <is>
          <t>[g02-g17 full rack, non-disruptive switch + AFM API, 14 Oct 2026] 1 item(s) passed (helios-tests fullrack-switch-nd-filtered, g02-g17-20261014-092828, g02-g17-20261014-170350, g02-g17-20261014-170910)
Earlier: 50 connect/disconnect cycles; afm-controller RSS stable (~3.1 GB).</t>
        </is>
      </c>
      <c r="I97" s="21" t="inlineStr">
        <is>
          <t>AFM API</t>
        </is>
      </c>
      <c r="J97" s="21" t="inlineStr">
        <is>
          <t>Switch (AFM API)</t>
        </is>
      </c>
      <c r="K97" s="21" t="inlineStr">
        <is>
          <t>BKC-26.12 plan</t>
        </is>
      </c>
      <c r="L97" s="21" t="inlineStr">
        <is>
          <t>Non-disruptive</t>
        </is>
      </c>
    </row>
    <row r="98" hidden="1" ht="16" customHeight="1" s="33">
      <c r="A98" s="7" t="inlineStr">
        <is>
          <t>TC-AFM-AGGW-029</t>
        </is>
      </c>
      <c r="B98" s="7" t="inlineStr">
        <is>
          <t>L2</t>
        </is>
      </c>
      <c r="C98" s="8" t="inlineStr">
        <is>
          <t>RBAC change during active connection</t>
        </is>
      </c>
      <c r="D98" t="inlineStr">
        <is>
          <t>Yes</t>
        </is>
      </c>
      <c r="F98" t="inlineStr">
        <is>
          <t>PASS</t>
        </is>
      </c>
      <c r="G98" t="inlineStr">
        <is>
          <t>SONiC.202505I20260915070938_x100.15; afm-agent/controller 202505I20260915070938_x100.15</t>
        </is>
      </c>
      <c r="H98" s="21" t="inlineStr">
        <is>
          <t>[g02-g17 full rack, non-disruptive switch + AFM API, 14 Oct 2026] 1 item(s) passed (helios-tests fullrack-switch-nd-filtered, g02-g17-20261014-092828, g02-g17-20261014-170350, g02-g17-20261014-170910)
Earlier: Revoked kind not delivered after RBAC change.</t>
        </is>
      </c>
      <c r="I98" s="21" t="inlineStr">
        <is>
          <t>AFM API</t>
        </is>
      </c>
      <c r="J98" s="21" t="inlineStr">
        <is>
          <t>Switch (AFM API)</t>
        </is>
      </c>
      <c r="K98" s="21" t="inlineStr">
        <is>
          <t>BKC-26.12 plan</t>
        </is>
      </c>
      <c r="L98" s="21" t="inlineStr">
        <is>
          <t>Non-disruptive</t>
        </is>
      </c>
    </row>
    <row r="99" hidden="1" ht="16" customHeight="1" s="33">
      <c r="A99" s="7" t="inlineStr">
        <is>
          <t>TC-AFM-AGGW-030</t>
        </is>
      </c>
      <c r="B99" s="7" t="inlineStr">
        <is>
          <t>L2</t>
        </is>
      </c>
      <c r="C99" s="8" t="inlineStr">
        <is>
          <t>Event burst under load</t>
        </is>
      </c>
      <c r="D99" t="inlineStr">
        <is>
          <t>Yes</t>
        </is>
      </c>
      <c r="F99" t="inlineStr">
        <is>
          <t>PASS</t>
        </is>
      </c>
      <c r="G99" t="inlineStr">
        <is>
          <t>SONiC.202505I20260915070938_x100.15; afm-agent/controller 202505I20260915070938_x100.15</t>
        </is>
      </c>
      <c r="H99" s="21" t="inlineStr">
        <is>
          <t>[g02-g17 full rack, non-disruptive switch + AFM API, 14 Oct 2026] 1 item(s) passed (helios-tests fullrack-switch-nd-filtered, g02-g17-20261014-092828, g02-g17-20261014-170350, g02-g17-20261014-170910)
Earlier: 100 Created + 100 Deleted events, no drops/duplicates.</t>
        </is>
      </c>
      <c r="I99" s="21" t="inlineStr">
        <is>
          <t>AFM API</t>
        </is>
      </c>
      <c r="J99" s="21" t="inlineStr">
        <is>
          <t>Switch (AFM API)</t>
        </is>
      </c>
      <c r="K99" s="21" t="inlineStr">
        <is>
          <t>BKC-26.12 plan</t>
        </is>
      </c>
      <c r="L99" s="21" t="inlineStr">
        <is>
          <t>Non-disruptive</t>
        </is>
      </c>
    </row>
    <row r="100" hidden="1" ht="32" customHeight="1" s="33">
      <c r="A100" s="7" t="inlineStr">
        <is>
          <t>TC-AFM-051</t>
        </is>
      </c>
      <c r="B100" s="7" t="inlineStr">
        <is>
          <t>L2</t>
        </is>
      </c>
      <c r="C100" s="8" t="inlineStr">
        <is>
          <t>Snapshot Collect and Restore</t>
        </is>
      </c>
      <c r="D100" t="inlineStr">
        <is>
          <t>Yes</t>
        </is>
      </c>
      <c r="F100" t="inlineStr">
        <is>
          <t>PARTIAL</t>
        </is>
      </c>
      <c r="G100" t="inlineStr">
        <is>
          <t>AFM 0.1.0-AICC-817</t>
        </is>
      </c>
      <c r="H100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
Earlier: TC script issues: vPOD create needs retry on transient HTTP 400 (fixed on attempt 2); recovery key is one-time, so step 9 cannot pass on a re-run. Snapshot save/restore itself worked.</t>
        </is>
      </c>
      <c r="I100" s="21" t="inlineStr">
        <is>
          <t>AFM API (disruptive)</t>
        </is>
      </c>
      <c r="J100" s="21" t="inlineStr">
        <is>
          <t>Switch (AFM API)</t>
        </is>
      </c>
      <c r="K100" s="21" t="inlineStr">
        <is>
          <t>BKC-26.12 plan</t>
        </is>
      </c>
      <c r="L100" s="21" t="inlineStr">
        <is>
          <t>Disruptive</t>
        </is>
      </c>
    </row>
    <row r="101" hidden="1" ht="16" customHeight="1" s="33">
      <c r="A101" s="7" t="inlineStr">
        <is>
          <t>TC-AFM-048</t>
        </is>
      </c>
      <c r="B101" s="7" t="inlineStr">
        <is>
          <t>L2</t>
        </is>
      </c>
      <c r="C101" s="8" t="inlineStr">
        <is>
          <t>Techsupport Validation (Sideband Only)</t>
        </is>
      </c>
      <c r="D101" t="inlineStr">
        <is>
          <t>Yes</t>
        </is>
      </c>
      <c r="F101" t="inlineStr">
        <is>
          <t>PASS</t>
        </is>
      </c>
      <c r="G101" t="inlineStr">
        <is>
          <t>SONiC.202505I20260915070938_x100.15; afm-agent/controller 202505I20260915070938_x100.15; ROCm 10.2.0a20260922</t>
        </is>
      </c>
      <c r="H101" s="21" t="inlineStr">
        <is>
          <t>[g02-g17 full rack, non-disruptive AFM API, 14 Oct 2026 20:02-20:15 UTC, helios-tests g02-g17-20261014-131501] PASS: techsupport bundle for switches and controllers collected and downloaded.
Earlier: Switches + controllers collected and downloaded (KI-TS-001: empty spec -&gt; 412; sideband rejects computes).</t>
        </is>
      </c>
      <c r="I101" s="21" t="inlineStr">
        <is>
          <t>AFM API</t>
        </is>
      </c>
      <c r="J101" s="21" t="inlineStr">
        <is>
          <t>Switch (AFM API)</t>
        </is>
      </c>
      <c r="K101" s="21" t="inlineStr">
        <is>
          <t>BKC-26.12 plan</t>
        </is>
      </c>
      <c r="L101" s="21" t="inlineStr">
        <is>
          <t>Non-disruptive</t>
        </is>
      </c>
    </row>
    <row r="102" hidden="1" ht="16" customHeight="1" s="33">
      <c r="A102" s="7" t="inlineStr">
        <is>
          <t>TC-AFM-LU-001</t>
        </is>
      </c>
      <c r="B102" s="7" t="inlineStr">
        <is>
          <t>L2</t>
        </is>
      </c>
      <c r="C102" s="8" t="inlineStr">
        <is>
          <t>IFoE Driver Load/Unload with TxB Validation</t>
        </is>
      </c>
      <c r="D102" t="inlineStr">
        <is>
          <t>Yes</t>
        </is>
      </c>
      <c r="I102" s="21" t="inlineStr">
        <is>
          <t>Compute SSH + datapath traffic</t>
        </is>
      </c>
      <c r="J102" s="21" t="inlineStr">
        <is>
          <t>Compute</t>
        </is>
      </c>
      <c r="K102" s="21" t="inlineStr">
        <is>
          <t>BKC-26.12 plan</t>
        </is>
      </c>
      <c r="L102" t="inlineStr">
        <is>
          <t>Disruptive</t>
        </is>
      </c>
    </row>
    <row r="103" hidden="1" ht="16" customHeight="1" s="33">
      <c r="A103" s="7" t="inlineStr">
        <is>
          <t>TC-AFM-UPGRADE-004</t>
        </is>
      </c>
      <c r="B103" s="7" t="inlineStr">
        <is>
          <t>L2</t>
        </is>
      </c>
      <c r="C103" s="8" t="inlineStr">
        <is>
          <t>Switch SONiC Upgrade</t>
        </is>
      </c>
      <c r="D103" t="inlineStr">
        <is>
          <t>Yes</t>
        </is>
      </c>
      <c r="I103" s="21" t="inlineStr">
        <is>
          <t>upgrade images + AFM API + switch SSH</t>
        </is>
      </c>
      <c r="J103" s="21" t="inlineStr">
        <is>
          <t>Switch</t>
        </is>
      </c>
      <c r="K103" s="21" t="inlineStr">
        <is>
          <t>BKC-26.12 plan</t>
        </is>
      </c>
      <c r="L103" t="inlineStr">
        <is>
          <t>Disruptive</t>
        </is>
      </c>
    </row>
    <row r="104" hidden="1" ht="32" customHeight="1" s="33">
      <c r="A104" s="11" t="inlineStr">
        <is>
          <t>TC-BU-001</t>
        </is>
      </c>
      <c r="B104" s="7" t="inlineStr">
        <is>
          <t>L2</t>
        </is>
      </c>
      <c r="C104" s="12" t="inlineStr">
        <is>
          <t>Switches admitted to AFM before computes</t>
        </is>
      </c>
      <c r="D104" t="inlineStr">
        <is>
          <t>Yes</t>
        </is>
      </c>
      <c r="F104" t="inlineStr">
        <is>
          <t>PASS</t>
        </is>
      </c>
      <c r="G104" t="inlineStr">
        <is>
          <t>SONiC.202505I20260915070938_x100.15; afm-agent/controller 202505I20260915070938_x100.15</t>
        </is>
      </c>
      <c r="H104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104" s="21" t="inlineStr">
        <is>
          <t>AFM API</t>
        </is>
      </c>
      <c r="J104" s="21" t="inlineStr">
        <is>
          <t>Switch (AFM API)</t>
        </is>
      </c>
      <c r="K104" s="21" t="inlineStr">
        <is>
          <t>BKC-26.12 plan</t>
        </is>
      </c>
      <c r="L104" t="inlineStr">
        <is>
          <t>Non-disruptive</t>
        </is>
      </c>
    </row>
    <row r="105" hidden="1" ht="32" customHeight="1" s="33">
      <c r="A105" s="11" t="inlineStr">
        <is>
          <t>TC-BU-002</t>
        </is>
      </c>
      <c r="B105" s="7" t="inlineStr">
        <is>
          <t>L2</t>
        </is>
      </c>
      <c r="C105" s="12" t="inlineStr">
        <is>
          <t>Sideband agent and node agent proxy running</t>
        </is>
      </c>
      <c r="D105" t="inlineStr">
        <is>
          <t>Yes</t>
        </is>
      </c>
      <c r="F105" t="inlineStr">
        <is>
          <t>PASS</t>
        </is>
      </c>
      <c r="G105" t="inlineStr">
        <is>
          <t>SONiC.202505I20260915070938_x100.15; afm-agent/controller 202505I20260915070938_x100.15; ROCm 10.2.0a20260922</t>
        </is>
      </c>
      <c r="H105" t="inlineStr">
        <is>
          <t>[g02-g17 full rack, rack health check: ran 2026-10-15 15:15 UTC (run g02-g17-20261015-151528), health result g02-g17-20261016-135436-merged] PASS.
Earlier: [g02-g17 full rack, non-disruptive compute / switch+compute, 14 Oct 2026 19:34-19:47 UTC, helios-tests g02-g17-20261014-194703 (jump host)] PASS: sideband agent and node-agent proxy running on the switches.</t>
        </is>
      </c>
      <c r="I105" s="21" t="inlineStr">
        <is>
          <t>Switch + compute SSH</t>
        </is>
      </c>
      <c r="J105" s="21" t="inlineStr">
        <is>
          <t>Switch + Compute</t>
        </is>
      </c>
      <c r="K105" s="21" t="inlineStr">
        <is>
          <t>BKC-26.12 plan</t>
        </is>
      </c>
      <c r="L105" t="inlineStr">
        <is>
          <t>Non-disruptive</t>
        </is>
      </c>
      <c r="M105" t="inlineStr">
        <is>
          <t>Blocker</t>
        </is>
      </c>
    </row>
    <row r="106" hidden="1" ht="32" customHeight="1" s="33">
      <c r="A106" s="11" t="inlineStr">
        <is>
          <t>TC-BU-003</t>
        </is>
      </c>
      <c r="B106" s="7" t="inlineStr">
        <is>
          <t>L2</t>
        </is>
      </c>
      <c r="C106" s="12" t="inlineStr">
        <is>
          <t>Every GPU has an active IFCP session</t>
        </is>
      </c>
      <c r="D106" t="inlineStr">
        <is>
          <t>Yes</t>
        </is>
      </c>
      <c r="F106" t="inlineStr">
        <is>
          <t>PARTIAL</t>
        </is>
      </c>
      <c r="G106" t="inlineStr">
        <is>
          <t>SONiC.202505I20260915070938_x100.15; afm-agent/controller 202505I20260915070938_x100.15; ROCm 10.2.0a20260922</t>
        </is>
      </c>
      <c r="H106" t="inlineStr">
        <is>
          <t>[g02-g17 full rack, rack health check: ran 2026-10-16 05:38 UTC (run g02-g17-20261016-053848), health result g02-g17-20261016-135436-merged] PARTIAL: fails only because CT05 (10.255.4.51) is unreachable - the health check groups it under the root cause "ct05 unreachable"; passed on every reachable node.
Earlier: [g02-g17 full rack, non-disruptive compute / switch+compute, 14 Oct 2026 19:34-19:47 UTC, helios-tests g02-g17-20261014-194703 (jump host)] PARTIAL: every LINK_UP GPU port has an IFCP session on all reachable trays; not checked on CT02 (10.255.4.48), CT05 (10.255.4.51) and CT17 (10.255.4.63) unreachable (no SSH).</t>
        </is>
      </c>
      <c r="I106" s="21" t="inlineStr">
        <is>
          <t>Switch + compute SSH</t>
        </is>
      </c>
      <c r="J106" s="21" t="inlineStr">
        <is>
          <t>Switch + Compute</t>
        </is>
      </c>
      <c r="K106" s="21" t="inlineStr">
        <is>
          <t>BKC-26.12 plan</t>
        </is>
      </c>
      <c r="L106" t="inlineStr">
        <is>
          <t>Non-disruptive</t>
        </is>
      </c>
      <c r="M106" t="inlineStr">
        <is>
          <t>Blocker</t>
        </is>
      </c>
    </row>
    <row r="107" hidden="1" ht="32" customHeight="1" s="33">
      <c r="A107" s="11" t="inlineStr">
        <is>
          <t>TC-BU-004</t>
        </is>
      </c>
      <c r="B107" s="7" t="inlineStr">
        <is>
          <t>L2</t>
        </is>
      </c>
      <c r="C107" s="12" t="inlineStr">
        <is>
          <t>Each session has 6 links with one active (SelectedLink)</t>
        </is>
      </c>
      <c r="D107" t="inlineStr">
        <is>
          <t>No</t>
        </is>
      </c>
      <c r="F107" t="inlineStr">
        <is>
          <t>NA</t>
        </is>
      </c>
      <c r="H107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107" s="21" t="inlineStr">
        <is>
          <t>Switch + compute SSH (est.)</t>
        </is>
      </c>
      <c r="J107" s="21" t="inlineStr">
        <is>
          <t>Switch + Compute</t>
        </is>
      </c>
      <c r="K107" s="21" t="inlineStr">
        <is>
          <t>BKC-26.12 plan</t>
        </is>
      </c>
      <c r="L107" t="inlineStr">
        <is>
          <t>Non-disruptive (est.)</t>
        </is>
      </c>
    </row>
    <row r="108" hidden="1" ht="32" customHeight="1" s="33">
      <c r="A108" s="11" t="inlineStr">
        <is>
          <t>TC-BU-005</t>
        </is>
      </c>
      <c r="B108" s="7" t="inlineStr">
        <is>
          <t>L2</t>
        </is>
      </c>
      <c r="C108" s="12" t="inlineStr">
        <is>
          <t>Each switch has expected session count (load balanced)</t>
        </is>
      </c>
      <c r="D108" t="inlineStr">
        <is>
          <t>Yes</t>
        </is>
      </c>
      <c r="H108" t="inlineStr">
        <is>
          <t>[Automated, 19 Oct 2026] tests/afm/test_afm_observability.py (read-only; passes on the fake racks, not yet run on a rack)
Earlier: 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108" s="21" t="inlineStr">
        <is>
          <t>Switch + compute SSH (est.)</t>
        </is>
      </c>
      <c r="J108" s="21" t="inlineStr">
        <is>
          <t>Switch + Compute</t>
        </is>
      </c>
      <c r="K108" s="21" t="inlineStr">
        <is>
          <t>BKC-26.12 plan</t>
        </is>
      </c>
      <c r="L108" t="inlineStr">
        <is>
          <t>Non-disruptive (est.)</t>
        </is>
      </c>
    </row>
    <row r="109" hidden="1" ht="32" customHeight="1" s="33">
      <c r="A109" s="11" t="inlineStr">
        <is>
          <t>TC-BU-006</t>
        </is>
      </c>
      <c r="B109" s="7" t="inlineStr">
        <is>
          <t>L2</t>
        </is>
      </c>
      <c r="C109" s="12" t="inlineStr">
        <is>
          <t>No agent running on compute nodes</t>
        </is>
      </c>
      <c r="D109" t="inlineStr">
        <is>
          <t>Yes</t>
        </is>
      </c>
      <c r="F109" t="inlineStr">
        <is>
          <t>PARTIAL</t>
        </is>
      </c>
      <c r="G109" t="inlineStr">
        <is>
          <t>SONiC.202505I20260915070938_x100.15; afm-agent/controller 202505I20260915070938_x100.15; ROCm 10.2.0a20260922</t>
        </is>
      </c>
      <c r="H109" t="inlineStr">
        <is>
          <t>[g02-g17 full rack, non-disruptive compute / switch+compute, 14 Oct 2026 19:34-19:47 UTC, helios-tests g02-g17-20261014-194703 (jump host)] PARTIAL: no agent running on any reachable compute; not checked on CT02 (10.255.4.48), CT05 (10.255.4.51) and CT17 (10.255.4.63) unreachable (no SSH).</t>
        </is>
      </c>
      <c r="I109" s="21" t="inlineStr">
        <is>
          <t>Switch + compute SSH</t>
        </is>
      </c>
      <c r="J109" s="21" t="inlineStr">
        <is>
          <t>Switch + Compute</t>
        </is>
      </c>
      <c r="K109" s="21" t="inlineStr">
        <is>
          <t>BKC-26.12 plan</t>
        </is>
      </c>
      <c r="L109" t="inlineStr">
        <is>
          <t>Non-disruptive</t>
        </is>
      </c>
    </row>
    <row r="110" hidden="1" ht="32" customHeight="1" s="33">
      <c r="A110" s="7" t="inlineStr">
        <is>
          <t>TC-BU-008</t>
        </is>
      </c>
      <c r="B110" s="7" t="inlineStr">
        <is>
          <t>L3</t>
        </is>
      </c>
      <c r="C110" s="8" t="inlineStr">
        <is>
          <t>First discovered link used as SelectedLink</t>
        </is>
      </c>
      <c r="D110" t="inlineStr">
        <is>
          <t>No</t>
        </is>
      </c>
      <c r="F110" t="inlineStr">
        <is>
          <t>NA</t>
        </is>
      </c>
      <c r="H110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110" s="21" t="inlineStr">
        <is>
          <t>Switch + compute SSH (est.)</t>
        </is>
      </c>
      <c r="J110" s="21" t="inlineStr">
        <is>
          <t>Switch + Compute</t>
        </is>
      </c>
      <c r="K110" s="21" t="inlineStr">
        <is>
          <t>BKC-26.12 plan</t>
        </is>
      </c>
      <c r="L110" t="inlineStr">
        <is>
          <t>Non-disruptive (est.)</t>
        </is>
      </c>
    </row>
    <row r="111" hidden="1" ht="32" customHeight="1" s="33">
      <c r="A111" s="7" t="inlineStr">
        <is>
          <t>TC-BU-009</t>
        </is>
      </c>
      <c r="B111" s="7" t="inlineStr">
        <is>
          <t>L3</t>
        </is>
      </c>
      <c r="C111" s="8" t="inlineStr">
        <is>
          <t>Node agent process count matches compute tray count</t>
        </is>
      </c>
      <c r="D111" t="inlineStr">
        <is>
          <t>Yes</t>
        </is>
      </c>
      <c r="F111" t="inlineStr">
        <is>
          <t>PARTIAL</t>
        </is>
      </c>
      <c r="G111" t="inlineStr">
        <is>
          <t>SONiC.202505I20260915070938_x100.15; afm-agent/controller 202505I20260915070938_x100.15; ROCm 10.2.0a20260922</t>
        </is>
      </c>
      <c r="H111" t="inlineStr">
        <is>
          <t>[g02-g17 full rack, rack health check: ran 2026-10-16 05:38 UTC (run g02-g17-20261016-053848), health result g02-g17-20261016-135436-merged] PARTIAL: fails only because CT05 (10.255.4.51) is unreachable - the health check groups it under the root cause "ct05 unreachable"; passed on every reachable node.
Earlier: [g02-g17 full rack, non-disruptive compute / switch+compute, 14 Oct 2026 19:34-19:47 UTC, helios-tests g02-g17-20261014-194703 (jump host)] FAIL: 15 sb-node-agent slots [0,2,3,5-15,17] for 18 compute trays (slots 1, 4, 16 = CT02, CT05, CT17 missing).</t>
        </is>
      </c>
      <c r="I111" s="21" t="inlineStr">
        <is>
          <t>Switch + compute SSH</t>
        </is>
      </c>
      <c r="J111" s="21" t="inlineStr">
        <is>
          <t>Switch + Compute</t>
        </is>
      </c>
      <c r="K111" s="21" t="inlineStr">
        <is>
          <t>BKC-26.12 plan</t>
        </is>
      </c>
      <c r="L111" t="inlineStr">
        <is>
          <t>Non-disruptive</t>
        </is>
      </c>
      <c r="M111" t="inlineStr">
        <is>
          <t>Blocker</t>
        </is>
      </c>
    </row>
    <row r="112" hidden="1" ht="32" customHeight="1" s="33">
      <c r="A112" s="7" t="inlineStr">
        <is>
          <t>TC-BU-010</t>
        </is>
      </c>
      <c r="B112" s="7" t="inlineStr">
        <is>
          <t>L3</t>
        </is>
      </c>
      <c r="C112" s="8" t="inlineStr">
        <is>
          <t>Each GPU session has a control port selected</t>
        </is>
      </c>
      <c r="D112" t="inlineStr">
        <is>
          <t>No</t>
        </is>
      </c>
      <c r="F112" t="inlineStr">
        <is>
          <t>NA</t>
        </is>
      </c>
      <c r="H112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112" s="21" t="inlineStr">
        <is>
          <t>Switch + compute SSH (est.)</t>
        </is>
      </c>
      <c r="J112" s="21" t="inlineStr">
        <is>
          <t>Switch + Compute</t>
        </is>
      </c>
      <c r="K112" s="21" t="inlineStr">
        <is>
          <t>BKC-26.12 plan</t>
        </is>
      </c>
      <c r="L112" t="inlineStr">
        <is>
          <t>Non-disruptive (est.)</t>
        </is>
      </c>
    </row>
    <row r="113" hidden="1" ht="32" customHeight="1" s="33">
      <c r="A113" s="7" t="inlineStr">
        <is>
          <t>TC-BU-011</t>
        </is>
      </c>
      <c r="B113" s="7" t="inlineStr">
        <is>
          <t>L3</t>
        </is>
      </c>
      <c r="C113" s="8" t="inlineStr">
        <is>
          <t>Compute side has active ifoe interfaces</t>
        </is>
      </c>
      <c r="D113" t="inlineStr">
        <is>
          <t>Yes</t>
        </is>
      </c>
      <c r="F113" t="inlineStr">
        <is>
          <t>FAIL</t>
        </is>
      </c>
      <c r="G113" t="inlineStr">
        <is>
          <t>SONiC.202505I20260915070938_x100.15; afm-agent/controller 202505I20260915070938_x100.15; ROCm 10.2.0a20260922</t>
        </is>
      </c>
      <c r="H113" t="inlineStr">
        <is>
          <t>[g02-g17 link scan, 18 Oct 2026 16:17 and 16:26 UTC, helios-debug tools/link_check.py scan with the switch ASIC's Broadcom view per lane (read-only); results/link-check/g02-g17/scan-20261018-161735, -162653] GPU ports enabled but without link: 5 GPU links down outside the quarantined CT05, all on GPU position 0002:01:00.1: CT13 port 0 / st6 Ethernet261 (no signal on either lane at the switch while it transmits: neither direction gets through, cable path); CT14 port 2 / st6 Ethernet257, CT17 port 24 / st4 Ethernet70, CT18 port 28 / st4 Ethernet66 (lane 0 dark, lane 1 good, RX_SNR 2394-2429 vs 2462-2515 on working ports: the same lane on all three); CT16 port 5 / st5 Ethernet494 (never up; a clean signal on both lanes that the switch receiver never locks: lane order / polarity / speed-FEC settings or the GPU port's PHY). On-site check of that GPU position needed. CT14 port 33 (NO_PHY_LINK on 16 Oct) is LINK_UP. CT17 also flapping: 0004:01:00.1 port 9 down at 16:17, back by 16:26; 0003:01:00.1 ports 31 / 33 at 16:26. Status unchanged until TC-BU-011 is rerun.
Earlier: [g02-g17 full rack, rack health check: ran 2026-10-16 05:38 UTC (run g02-g17-20261016-053848), health result g02-g17-20261016-135436-merged] FAIL: ct14/0003:01:00.1: ports not enabled+LINK_UP: ['33:enabled/NO_PHY_LINK, PCS_NO_BLOCK_LOCK']; ct16/0002:01:00.1: ports not enabled+LINK_UP: ['5:enabled/NO_PHY_LINK, PCS_NO_BLOCK_LOCK']; CT05 (10.255.4.51) unreachable.
Earlier: [g02-g17 full rack, non-disruptive compute / switch+compute, 14 Oct 2026 19:34-19:47 UTC, helios-tests g02-g17-20261014-194703 (jump host)] FAIL: CT14 0003:01:00.1 port 33 and CT16 0002:01:00.1 port 5 enabled but NO_PHY_LINK / PCS_NO_BLOCK_LOCK; CT02 (10.255.4.48), CT05 (10.255.4.51) and CT17 (10.255.4.63) unreachable (no SSH).</t>
        </is>
      </c>
      <c r="I113" s="21" t="inlineStr">
        <is>
          <t>Switch + compute SSH</t>
        </is>
      </c>
      <c r="J113" s="21" t="inlineStr">
        <is>
          <t>Switch + Compute</t>
        </is>
      </c>
      <c r="K113" s="21" t="inlineStr">
        <is>
          <t>BKC-26.12 plan</t>
        </is>
      </c>
      <c r="L113" t="inlineStr">
        <is>
          <t>Non-disruptive</t>
        </is>
      </c>
      <c r="M113" t="inlineStr">
        <is>
          <t>Blocker</t>
        </is>
      </c>
    </row>
    <row r="114" hidden="1" ht="32" customHeight="1" s="33">
      <c r="A114" s="7" t="inlineStr">
        <is>
          <t>TC-BU-012</t>
        </is>
      </c>
      <c r="B114" s="7" t="inlineStr">
        <is>
          <t>L3</t>
        </is>
      </c>
      <c r="C114" s="8" t="inlineStr">
        <is>
          <t>All GPU sessions per compute node served by one node agent</t>
        </is>
      </c>
      <c r="D114" t="inlineStr">
        <is>
          <t>Yes</t>
        </is>
      </c>
      <c r="H114" t="inlineStr">
        <is>
          <t>[Automated, 19 Oct 2026] tests/afm/test_afm_observability.py (read-only; passes on the fake racks, not yet run on a rack)
Earlier: 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114" s="21" t="inlineStr">
        <is>
          <t>Switch + compute SSH (est.)</t>
        </is>
      </c>
      <c r="J114" s="21" t="inlineStr">
        <is>
          <t>Switch + Compute</t>
        </is>
      </c>
      <c r="K114" s="21" t="inlineStr">
        <is>
          <t>BKC-26.12 plan</t>
        </is>
      </c>
      <c r="L114" t="inlineStr">
        <is>
          <t>Non-disruptive (est.)</t>
        </is>
      </c>
    </row>
    <row r="115" hidden="1" ht="16" customHeight="1" s="33">
      <c r="A115" s="7" t="inlineStr">
        <is>
          <t>TC-001</t>
        </is>
      </c>
      <c r="B115" s="7" t="inlineStr">
        <is>
          <t>L3</t>
        </is>
      </c>
      <c r="C115" s="8" t="inlineStr">
        <is>
          <t>Baseline Session State Check</t>
        </is>
      </c>
      <c r="D115" t="inlineStr">
        <is>
          <t>Yes</t>
        </is>
      </c>
      <c r="F115" t="inlineStr">
        <is>
          <t>FAIL</t>
        </is>
      </c>
      <c r="G115" t="inlineStr">
        <is>
          <t>SONiC.202505I20260915070938_x100.15; afm-agent/controller 202505I20260915070938_x100.15; ROCm 10.2.0a20260922</t>
        </is>
      </c>
      <c r="H115" t="inlineStr">
        <is>
          <t>[g02-g17 link scan, 18 Oct 2026 16:17 and 16:26 UTC, helios-debug tools/link_check.py scan with the switch ASIC's Broadcom view per lane (read-only); results/link-check/g02-g17/scan-20261018-161735, -162653] CT02 0004:01:00.1 port 30 and CT06 0002:01:00.1 port 12 (no IFCP session on 16 Oct) have an IFCP session in the 18 Oct scans; every working link's IFCP peer is its described switch port. Status unchanged until TC-001 is rerun.
Earlier: [g02-g17 full rack, rack health check: ran 2026-10-16 05:24 UTC (run g02-g17-20261016-053848), health result g02-g17-20261016-135436-merged] FAIL: 2 LINK_UP ports without an IFCP session: ['ct02/0004:01:00.1 port 30', 'ct06/0002:01:00.1 port 12']; CT05 (10.255.4.51) unreachable.
Earlier: [g02-g17 full rack, AFM API + compute, 14 Oct 2026 21:22-21:34 UTC, helios-tests g02-g17-20261014-213410 (jump host, AFM direct)] FAIL: 2 LINK_UP GPU ports without an IFCP session - CT02 0004:01:00.1 port 30 and CT06 0002:01:00.1 port 12 (also TC-SBM-062); every other port up with a session (144/144 per tray, CT14/CT16 143/143). Not checked: CT05, CT17 (unreachable). An earlier run at 20:03 UTC stopped on the first down tray (test fixed).</t>
        </is>
      </c>
      <c r="I115" s="21" t="inlineStr">
        <is>
          <t>AFM API + compute SSH</t>
        </is>
      </c>
      <c r="J115" s="21" t="inlineStr">
        <is>
          <t>Compute</t>
        </is>
      </c>
      <c r="K115" s="21" t="inlineStr">
        <is>
          <t>BKC-26.12 plan</t>
        </is>
      </c>
      <c r="L115" t="inlineStr">
        <is>
          <t>Non-disruptive</t>
        </is>
      </c>
      <c r="M115" t="inlineStr">
        <is>
          <t>Blocker</t>
        </is>
      </c>
    </row>
    <row r="116" hidden="1" ht="32" customHeight="1" s="33">
      <c r="A116" s="7" t="inlineStr">
        <is>
          <t>TC-002</t>
        </is>
      </c>
      <c r="B116" s="7" t="inlineStr">
        <is>
          <t>L3</t>
        </is>
      </c>
      <c r="C116" s="8" t="inlineStr">
        <is>
          <t>[Link] Link flap (switch + compute) - the IFCP session renegotiates and comes back after the flap</t>
        </is>
      </c>
      <c r="D116" t="inlineStr">
        <is>
          <t>Yes</t>
        </is>
      </c>
      <c r="I116" s="21" t="inlineStr">
        <is>
          <t>AFM API + switch + compute SSH</t>
        </is>
      </c>
      <c r="J116" s="21" t="inlineStr">
        <is>
          <t>Switch + Compute</t>
        </is>
      </c>
      <c r="K116" s="21" t="inlineStr">
        <is>
          <t>BKC-26.12 plan</t>
        </is>
      </c>
      <c r="L116" t="inlineStr">
        <is>
          <t>Disruptive</t>
        </is>
      </c>
    </row>
    <row r="117" hidden="1" ht="32" customHeight="1" s="33">
      <c r="A117" s="7" t="inlineStr">
        <is>
          <t>TC-003</t>
        </is>
      </c>
      <c r="B117" s="7" t="inlineStr">
        <is>
          <t>L3</t>
        </is>
      </c>
      <c r="C117" s="8" t="inlineStr">
        <is>
          <t>Afm-agent Restart — Clean Path Negotiation</t>
        </is>
      </c>
      <c r="D117" t="inlineStr">
        <is>
          <t>Yes</t>
        </is>
      </c>
      <c r="I117" s="21" t="inlineStr">
        <is>
          <t>AFM API + switch + compute SSH</t>
        </is>
      </c>
      <c r="J117" s="21" t="inlineStr">
        <is>
          <t>Switch + Compute</t>
        </is>
      </c>
      <c r="K117" s="21" t="inlineStr">
        <is>
          <t>BKC-26.12 plan</t>
        </is>
      </c>
      <c r="L117" t="inlineStr">
        <is>
          <t>Disruptive</t>
        </is>
      </c>
    </row>
    <row r="118" hidden="1" ht="32" customHeight="1" s="33">
      <c r="A118" s="7" t="inlineStr">
        <is>
          <t>TC-004</t>
        </is>
      </c>
      <c r="B118" s="7" t="inlineStr">
        <is>
          <t>L3</t>
        </is>
      </c>
      <c r="C118" s="8" t="inlineStr">
        <is>
          <t>Node Agent Proxy Pause/Resume Recovery</t>
        </is>
      </c>
      <c r="D118" t="inlineStr">
        <is>
          <t>Yes</t>
        </is>
      </c>
      <c r="I118" s="21" t="inlineStr">
        <is>
          <t>AFM API + switch + compute SSH</t>
        </is>
      </c>
      <c r="J118" s="21" t="inlineStr">
        <is>
          <t>Switch + Compute</t>
        </is>
      </c>
      <c r="K118" s="21" t="inlineStr">
        <is>
          <t>BKC-26.12 plan</t>
        </is>
      </c>
      <c r="L118" t="inlineStr">
        <is>
          <t>Disruptive</t>
        </is>
      </c>
    </row>
    <row r="119" hidden="1" ht="32" customHeight="1" s="33">
      <c r="A119" s="7" t="inlineStr">
        <is>
          <t>TC-005</t>
        </is>
      </c>
      <c r="B119" s="7" t="inlineStr">
        <is>
          <t>L3</t>
        </is>
      </c>
      <c r="C119" s="8" t="inlineStr">
        <is>
          <t>AFM Controller Restart Recovery</t>
        </is>
      </c>
      <c r="D119" t="inlineStr">
        <is>
          <t>Yes</t>
        </is>
      </c>
      <c r="I119" s="21" t="inlineStr">
        <is>
          <t>AFM API + switch + compute SSH</t>
        </is>
      </c>
      <c r="J119" s="21" t="inlineStr">
        <is>
          <t>Switch + Compute</t>
        </is>
      </c>
      <c r="K119" s="21" t="inlineStr">
        <is>
          <t>BKC-26.12 plan</t>
        </is>
      </c>
      <c r="L119" t="inlineStr">
        <is>
          <t>Disruptive</t>
        </is>
      </c>
    </row>
    <row r="120" hidden="1" ht="16" customHeight="1" s="33">
      <c r="A120" s="7" t="inlineStr">
        <is>
          <t>TC-007</t>
        </is>
      </c>
      <c r="B120" s="7" t="inlineStr">
        <is>
          <t>L3</t>
        </is>
      </c>
      <c r="C120" s="8" t="inlineStr">
        <is>
          <t>[Link] Link down (compute side) - a GPU port shut and restored on the tray: link, IFCP and AFM state recover</t>
        </is>
      </c>
      <c r="D120" t="inlineStr">
        <is>
          <t>Yes</t>
        </is>
      </c>
      <c r="I120" s="21" t="inlineStr">
        <is>
          <t>AFM API + compute SSH</t>
        </is>
      </c>
      <c r="J120" s="21" t="inlineStr">
        <is>
          <t>Compute</t>
        </is>
      </c>
      <c r="K120" s="21" t="inlineStr">
        <is>
          <t>BKC-26.12 plan</t>
        </is>
      </c>
      <c r="L120" t="inlineStr">
        <is>
          <t>Disruptive</t>
        </is>
      </c>
    </row>
    <row r="121" hidden="1" ht="32" customHeight="1" s="33">
      <c r="A121" s="7" t="inlineStr">
        <is>
          <t>TC-008</t>
        </is>
      </c>
      <c r="B121" s="7" t="inlineStr">
        <is>
          <t>L3</t>
        </is>
      </c>
      <c r="C121" s="8" t="inlineStr">
        <is>
          <t>All-Links-Down → All-Links-Up Recovery</t>
        </is>
      </c>
      <c r="D121" t="inlineStr">
        <is>
          <t>Yes</t>
        </is>
      </c>
      <c r="I121" s="21" t="inlineStr">
        <is>
          <t>AFM API + switch + compute SSH</t>
        </is>
      </c>
      <c r="J121" s="21" t="inlineStr">
        <is>
          <t>Switch + Compute</t>
        </is>
      </c>
      <c r="K121" s="21" t="inlineStr">
        <is>
          <t>BKC-26.12 plan</t>
        </is>
      </c>
      <c r="L121" t="inlineStr">
        <is>
          <t>Disruptive</t>
        </is>
      </c>
    </row>
    <row r="122" ht="32" customHeight="1" s="33">
      <c r="A122" s="7" t="inlineStr">
        <is>
          <t>TC-009</t>
        </is>
      </c>
      <c r="B122" s="7" t="inlineStr">
        <is>
          <t>L3</t>
        </is>
      </c>
      <c r="C122" s="8" t="inlineStr">
        <is>
          <t>Keepalive Drop — SONiC to Compute (OVS Filter)</t>
        </is>
      </c>
      <c r="D122" t="inlineStr">
        <is>
          <t>No</t>
        </is>
      </c>
      <c r="F122" s="18" t="inlineStr">
        <is>
          <t>NA</t>
        </is>
      </c>
      <c r="H122" t="inlineStr">
        <is>
          <t>[Not automated, 15 Oct 2026] Reason: IFCP packets cannot be captured or dropped on purpose. Needed (from AMD / lab): The OVS / tc filter scripts used for TC-009…015 and TC-040…043, or the exact filter definitions. (details: docs/amd-inputs.html in helios-tests)</t>
        </is>
      </c>
      <c r="I122" s="21" t="inlineStr">
        <is>
          <t>Switch + compute SSH (est.)</t>
        </is>
      </c>
      <c r="J122" s="21" t="inlineStr">
        <is>
          <t>Switch + Compute</t>
        </is>
      </c>
      <c r="K122" s="21" t="inlineStr">
        <is>
          <t>BKC-26.12 plan</t>
        </is>
      </c>
      <c r="L122" t="inlineStr">
        <is>
          <t>Disruptive (est.)</t>
        </is>
      </c>
    </row>
    <row r="123" ht="32" customHeight="1" s="33">
      <c r="A123" s="7" t="inlineStr">
        <is>
          <t>TC-010</t>
        </is>
      </c>
      <c r="B123" s="7" t="inlineStr">
        <is>
          <t>L3</t>
        </is>
      </c>
      <c r="C123" s="8" t="inlineStr">
        <is>
          <t>Keepalive Drop — Compute to SONiC (OVS Filter)</t>
        </is>
      </c>
      <c r="D123" t="inlineStr">
        <is>
          <t>No</t>
        </is>
      </c>
      <c r="F123" s="18" t="inlineStr">
        <is>
          <t>NA</t>
        </is>
      </c>
      <c r="H123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123" s="21" t="inlineStr">
        <is>
          <t>Switch + compute SSH (est.)</t>
        </is>
      </c>
      <c r="J123" s="21" t="inlineStr">
        <is>
          <t>Switch + Compute</t>
        </is>
      </c>
      <c r="K123" s="21" t="inlineStr">
        <is>
          <t>BKC-26.12 plan</t>
        </is>
      </c>
      <c r="L123" t="inlineStr">
        <is>
          <t>Disruptive (est.)</t>
        </is>
      </c>
    </row>
    <row r="124" ht="32" customHeight="1" s="33">
      <c r="A124" s="7" t="inlineStr">
        <is>
          <t>TC-011</t>
        </is>
      </c>
      <c r="B124" s="7" t="inlineStr">
        <is>
          <t>L3</t>
        </is>
      </c>
      <c r="C124" s="8" t="inlineStr">
        <is>
          <t>LL-Discovery Drop — SONiC to Compute (OVS Filter)</t>
        </is>
      </c>
      <c r="D124" t="inlineStr">
        <is>
          <t>No</t>
        </is>
      </c>
      <c r="F124" s="18" t="inlineStr">
        <is>
          <t>NA</t>
        </is>
      </c>
      <c r="H124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124" s="21" t="inlineStr">
        <is>
          <t>Switch + compute SSH (est.)</t>
        </is>
      </c>
      <c r="J124" s="21" t="inlineStr">
        <is>
          <t>Switch + Compute</t>
        </is>
      </c>
      <c r="K124" s="21" t="inlineStr">
        <is>
          <t>BKC-26.12 plan</t>
        </is>
      </c>
      <c r="L124" t="inlineStr">
        <is>
          <t>Disruptive (est.)</t>
        </is>
      </c>
    </row>
    <row r="125" ht="32" customHeight="1" s="33">
      <c r="A125" s="7" t="inlineStr">
        <is>
          <t>TC-012</t>
        </is>
      </c>
      <c r="B125" s="7" t="inlineStr">
        <is>
          <t>L3</t>
        </is>
      </c>
      <c r="C125" s="8" t="inlineStr">
        <is>
          <t>LL-Discovery Drop — Compute to SONiC (OVS Filter)</t>
        </is>
      </c>
      <c r="D125" t="inlineStr">
        <is>
          <t>No</t>
        </is>
      </c>
      <c r="F125" s="18" t="inlineStr">
        <is>
          <t>NA</t>
        </is>
      </c>
      <c r="H125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125" s="21" t="inlineStr">
        <is>
          <t>Switch + compute SSH (est.)</t>
        </is>
      </c>
      <c r="J125" s="21" t="inlineStr">
        <is>
          <t>Switch + Compute</t>
        </is>
      </c>
      <c r="K125" s="21" t="inlineStr">
        <is>
          <t>BKC-26.12 plan</t>
        </is>
      </c>
      <c r="L125" t="inlineStr">
        <is>
          <t>Disruptive (est.)</t>
        </is>
      </c>
    </row>
    <row r="126" ht="32" customHeight="1" s="33">
      <c r="A126" s="7" t="inlineStr">
        <is>
          <t>TC-013</t>
        </is>
      </c>
      <c r="B126" s="7" t="inlineStr">
        <is>
          <t>L3</t>
        </is>
      </c>
      <c r="C126" s="8" t="inlineStr">
        <is>
          <t>CapReq Drop — SONiC to Compute (OVS Filter, Timing-Based)</t>
        </is>
      </c>
      <c r="D126" t="inlineStr">
        <is>
          <t>No</t>
        </is>
      </c>
      <c r="F126" s="18" t="inlineStr">
        <is>
          <t>NA</t>
        </is>
      </c>
      <c r="H126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126" s="21" t="inlineStr">
        <is>
          <t>Switch + compute SSH (est.)</t>
        </is>
      </c>
      <c r="J126" s="21" t="inlineStr">
        <is>
          <t>Switch + Compute</t>
        </is>
      </c>
      <c r="K126" s="21" t="inlineStr">
        <is>
          <t>BKC-26.12 plan</t>
        </is>
      </c>
      <c r="L126" t="inlineStr">
        <is>
          <t>Disruptive (est.)</t>
        </is>
      </c>
    </row>
    <row r="127" ht="32" customHeight="1" s="33">
      <c r="A127" s="7" t="inlineStr">
        <is>
          <t>TC-014</t>
        </is>
      </c>
      <c r="B127" s="7" t="inlineStr">
        <is>
          <t>L3</t>
        </is>
      </c>
      <c r="C127" s="8" t="inlineStr">
        <is>
          <t>CapResp Drop — Compute to SONiC (OVS Filter, Timing-Based)</t>
        </is>
      </c>
      <c r="D127" t="inlineStr">
        <is>
          <t>No</t>
        </is>
      </c>
      <c r="F127" s="18" t="inlineStr">
        <is>
          <t>NA</t>
        </is>
      </c>
      <c r="H127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127" s="21" t="inlineStr">
        <is>
          <t>Switch + compute SSH (est.)</t>
        </is>
      </c>
      <c r="J127" s="21" t="inlineStr">
        <is>
          <t>Switch + Compute</t>
        </is>
      </c>
      <c r="K127" s="21" t="inlineStr">
        <is>
          <t>BKC-26.12 plan</t>
        </is>
      </c>
      <c r="L127" t="inlineStr">
        <is>
          <t>Disruptive (est.)</t>
        </is>
      </c>
    </row>
    <row r="128" ht="32" customHeight="1" s="33">
      <c r="A128" s="7" t="inlineStr">
        <is>
          <t>TC-015</t>
        </is>
      </c>
      <c r="B128" s="7" t="inlineStr">
        <is>
          <t>L3</t>
        </is>
      </c>
      <c r="C128" s="8" t="inlineStr">
        <is>
          <t>CapSet Drop — SONiC to Compute (tc u32 egress on eth330, asic1 netns)</t>
        </is>
      </c>
      <c r="D128" t="inlineStr">
        <is>
          <t>No</t>
        </is>
      </c>
      <c r="F128" s="18" t="inlineStr">
        <is>
          <t>NA</t>
        </is>
      </c>
      <c r="H128" t="inlineStr">
        <is>
          <t>[Not automated, 15 Oct 2026] Reason: IFCP packets cannot be captured or dropped on purpose. Needed (from AMD / lab): The OVS / tc filter scripts used for TC-009…015 and TC-040…043, or the exact filter definitions. (details: docs/amd-inputs.html in helios-tests)</t>
        </is>
      </c>
      <c r="I128" s="21" t="inlineStr">
        <is>
          <t>Switch + compute SSH (est.)</t>
        </is>
      </c>
      <c r="J128" s="21" t="inlineStr">
        <is>
          <t>Switch + Compute</t>
        </is>
      </c>
      <c r="K128" s="21" t="inlineStr">
        <is>
          <t>BKC-26.12 plan</t>
        </is>
      </c>
      <c r="L128" t="inlineStr">
        <is>
          <t>Disruptive (est.)</t>
        </is>
      </c>
    </row>
    <row r="129" hidden="1" ht="32" customHeight="1" s="33">
      <c r="A129" s="7" t="inlineStr">
        <is>
          <t>TC-040</t>
        </is>
      </c>
      <c r="B129" s="7" t="inlineStr">
        <is>
          <t>L3</t>
        </is>
      </c>
      <c r="C129" s="8" t="inlineStr">
        <is>
          <t>IFCP Egress Frame Direction — SONiC→compute (tc Counter Filter)</t>
        </is>
      </c>
      <c r="D129" t="inlineStr">
        <is>
          <t>No</t>
        </is>
      </c>
      <c r="F129" t="inlineStr">
        <is>
          <t>NA</t>
        </is>
      </c>
      <c r="H129" t="inlineStr">
        <is>
          <t>[Not automated, 15 Oct 2026] Reason: IFCP packets cannot be captured or dropped on purpose. Needed (from AMD / lab): The OVS / tc filter scripts used for TC-009…015 and TC-040…043, or the exact filter definitions. (details: docs/amd-inputs.html in helios-tests)</t>
        </is>
      </c>
      <c r="I129" s="21" t="inlineStr">
        <is>
          <t>Switch + compute SSH (est.)</t>
        </is>
      </c>
      <c r="J129" s="21" t="inlineStr">
        <is>
          <t>Switch + Compute</t>
        </is>
      </c>
      <c r="K129" s="21" t="inlineStr">
        <is>
          <t>BKC-26.12 plan</t>
        </is>
      </c>
      <c r="L129" t="inlineStr">
        <is>
          <t>Non-disruptive (est.)</t>
        </is>
      </c>
    </row>
    <row r="130" hidden="1" ht="32" customHeight="1" s="33">
      <c r="A130" s="7" t="inlineStr">
        <is>
          <t>TC-041</t>
        </is>
      </c>
      <c r="B130" s="7" t="inlineStr">
        <is>
          <t>L3</t>
        </is>
      </c>
      <c r="C130" s="8" t="inlineStr">
        <is>
          <t>IFCP Ingress Frame Direction — compute→SONiC (tc Counter Filter)</t>
        </is>
      </c>
      <c r="D130" t="inlineStr">
        <is>
          <t>No</t>
        </is>
      </c>
      <c r="F130" t="inlineStr">
        <is>
          <t>NA</t>
        </is>
      </c>
      <c r="H130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130" s="21" t="inlineStr">
        <is>
          <t>Switch + compute SSH (est.)</t>
        </is>
      </c>
      <c r="J130" s="21" t="inlineStr">
        <is>
          <t>Switch + Compute</t>
        </is>
      </c>
      <c r="K130" s="21" t="inlineStr">
        <is>
          <t>BKC-26.12 plan</t>
        </is>
      </c>
      <c r="L130" t="inlineStr">
        <is>
          <t>Non-disruptive (est.)</t>
        </is>
      </c>
    </row>
    <row r="131" hidden="1" ht="32" customHeight="1" s="33">
      <c r="A131" s="7" t="inlineStr">
        <is>
          <t>TC-042</t>
        </is>
      </c>
      <c r="B131" s="7" t="inlineStr">
        <is>
          <t>L3</t>
        </is>
      </c>
      <c r="C131" s="8" t="inlineStr">
        <is>
          <t>IFCP Bidirectional Frame Direction — Full Negotiation Flow</t>
        </is>
      </c>
      <c r="D131" t="inlineStr">
        <is>
          <t>No</t>
        </is>
      </c>
      <c r="F131" t="inlineStr">
        <is>
          <t>NA</t>
        </is>
      </c>
      <c r="H131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131" s="21" t="inlineStr">
        <is>
          <t>Switch + compute SSH (est.)</t>
        </is>
      </c>
      <c r="J131" s="21" t="inlineStr">
        <is>
          <t>Switch + Compute</t>
        </is>
      </c>
      <c r="K131" s="21" t="inlineStr">
        <is>
          <t>BKC-26.12 plan</t>
        </is>
      </c>
      <c r="L131" t="inlineStr">
        <is>
          <t>Non-disruptive (est.)</t>
        </is>
      </c>
    </row>
    <row r="132" hidden="1" ht="32" customHeight="1" s="33">
      <c r="A132" s="7" t="inlineStr">
        <is>
          <t>TC-043</t>
        </is>
      </c>
      <c r="B132" s="7" t="inlineStr">
        <is>
          <t>L3</t>
        </is>
      </c>
      <c r="C132" s="8" t="inlineStr">
        <is>
          <t>IFCP Steady-State Keepalive — Bidirectional (tc Counter Filter)</t>
        </is>
      </c>
      <c r="D132" t="inlineStr">
        <is>
          <t>No</t>
        </is>
      </c>
      <c r="F132" t="inlineStr">
        <is>
          <t>NA</t>
        </is>
      </c>
      <c r="H132" t="inlineStr">
        <is>
          <t>[Not automated, 15 Oct 2026] Reason: IFCP packets cannot be captured or dropped on purpose. Needed (from AMD / lab): The OVS / tc filter scripts used for TC-009…015 and TC-040…043, or the exact filter definitions. (details: docs/amd-inputs.html in helios-tests)</t>
        </is>
      </c>
      <c r="I132" s="21" t="inlineStr">
        <is>
          <t>Switch + compute SSH (est.)</t>
        </is>
      </c>
      <c r="J132" s="21" t="inlineStr">
        <is>
          <t>Switch + Compute</t>
        </is>
      </c>
      <c r="K132" s="21" t="inlineStr">
        <is>
          <t>BKC-26.12 plan</t>
        </is>
      </c>
      <c r="L132" t="inlineStr">
        <is>
          <t>Non-disruptive (est.)</t>
        </is>
      </c>
    </row>
    <row r="133" hidden="1" ht="16" customHeight="1" s="33">
      <c r="A133" s="7" t="inlineStr">
        <is>
          <t>TC-AR-001</t>
        </is>
      </c>
      <c r="B133" s="7" t="inlineStr">
        <is>
          <t>L3</t>
        </is>
      </c>
      <c r="C133" s="8" t="inlineStr">
        <is>
          <t>Restart sideband agent (afm-agent)</t>
        </is>
      </c>
      <c r="D133" t="inlineStr">
        <is>
          <t>Yes</t>
        </is>
      </c>
      <c r="F133" t="inlineStr">
        <is>
          <t>PARTIAL</t>
        </is>
      </c>
      <c r="G133" t="inlineStr">
        <is>
          <t>AFM 0.1.0-AICC-817</t>
        </is>
      </c>
      <c r="H13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33" s="21" t="inlineStr">
        <is>
          <t>AFM API + switch SSH</t>
        </is>
      </c>
      <c r="J133" s="21" t="inlineStr">
        <is>
          <t>Switch</t>
        </is>
      </c>
      <c r="K133" s="21" t="inlineStr">
        <is>
          <t>BKC-26.12 plan</t>
        </is>
      </c>
      <c r="L133" t="inlineStr">
        <is>
          <t>Disruptive</t>
        </is>
      </c>
    </row>
    <row r="134" hidden="1" ht="16" customHeight="1" s="33">
      <c r="A134" s="7" t="inlineStr">
        <is>
          <t>TC-AR-002</t>
        </is>
      </c>
      <c r="B134" s="7" t="inlineStr">
        <is>
          <t>L3</t>
        </is>
      </c>
      <c r="C134" s="8" t="inlineStr">
        <is>
          <t>Pause/resume node agent proxy (SIGSTOP/SIGCONT)</t>
        </is>
      </c>
      <c r="D134" t="inlineStr">
        <is>
          <t>Yes</t>
        </is>
      </c>
      <c r="F134" t="inlineStr">
        <is>
          <t>PARTIAL</t>
        </is>
      </c>
      <c r="G134" t="inlineStr">
        <is>
          <t>AFM 0.1.0-AICC-817</t>
        </is>
      </c>
      <c r="H134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34" s="21" t="inlineStr">
        <is>
          <t>AFM API + switch SSH</t>
        </is>
      </c>
      <c r="J134" s="21" t="inlineStr">
        <is>
          <t>Switch</t>
        </is>
      </c>
      <c r="K134" s="21" t="inlineStr">
        <is>
          <t>BKC-26.12 plan</t>
        </is>
      </c>
      <c r="L134" t="inlineStr">
        <is>
          <t>Disruptive</t>
        </is>
      </c>
    </row>
    <row r="135" hidden="1" ht="16" customHeight="1" s="33">
      <c r="A135" s="7" t="inlineStr">
        <is>
          <t>TC-AR-003</t>
        </is>
      </c>
      <c r="B135" s="7" t="inlineStr">
        <is>
          <t>L3</t>
        </is>
      </c>
      <c r="C135" s="8" t="inlineStr">
        <is>
          <t>Restart AFM controller</t>
        </is>
      </c>
      <c r="D135" t="inlineStr">
        <is>
          <t>Yes</t>
        </is>
      </c>
      <c r="F135" t="inlineStr">
        <is>
          <t>PARTIAL</t>
        </is>
      </c>
      <c r="G135" t="inlineStr">
        <is>
          <t>AFM 0.1.0-AICC-817</t>
        </is>
      </c>
      <c r="H13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35" s="21" t="inlineStr">
        <is>
          <t>AFM API + switch SSH</t>
        </is>
      </c>
      <c r="J135" s="21" t="inlineStr">
        <is>
          <t>Switch</t>
        </is>
      </c>
      <c r="K135" s="21" t="inlineStr">
        <is>
          <t>BKC-26.12 plan</t>
        </is>
      </c>
      <c r="L135" t="inlineStr">
        <is>
          <t>Disruptive</t>
        </is>
      </c>
    </row>
    <row r="136" hidden="1" ht="32" customHeight="1" s="33">
      <c r="A136" s="7" t="inlineStr">
        <is>
          <t>TC-CTRL-009</t>
        </is>
      </c>
      <c r="B136" s="7" t="inlineStr">
        <is>
          <t>L3</t>
        </is>
      </c>
      <c r="C136" s="8" t="inlineStr">
        <is>
          <t>Major version consistent across all sessions</t>
        </is>
      </c>
      <c r="D136" t="inlineStr">
        <is>
          <t>No</t>
        </is>
      </c>
      <c r="F136" t="inlineStr">
        <is>
          <t>NA</t>
        </is>
      </c>
      <c r="H136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136" s="21" t="inlineStr">
        <is>
          <t>Switch + compute SSH + packet manipulation (est.)</t>
        </is>
      </c>
      <c r="J136" s="21" t="inlineStr">
        <is>
          <t>Switch + Compute</t>
        </is>
      </c>
      <c r="K136" s="21" t="inlineStr">
        <is>
          <t>BKC-26.12 plan</t>
        </is>
      </c>
      <c r="L136" t="inlineStr">
        <is>
          <t>Non-disruptive (est.)</t>
        </is>
      </c>
    </row>
    <row r="137" hidden="1" ht="32" customHeight="1" s="33">
      <c r="A137" s="7" t="inlineStr">
        <is>
          <t>TC-CTRL-011</t>
        </is>
      </c>
      <c r="B137" s="7" t="inlineStr">
        <is>
          <t>L3</t>
        </is>
      </c>
      <c r="C137" s="8" t="inlineStr">
        <is>
          <t>Minor version mismatch tolerated</t>
        </is>
      </c>
      <c r="D137" t="inlineStr">
        <is>
          <t>No</t>
        </is>
      </c>
      <c r="F137" t="inlineStr">
        <is>
          <t>NA</t>
        </is>
      </c>
      <c r="H137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137" s="21" t="inlineStr">
        <is>
          <t>Switch + compute SSH + packet manipulation (est.)</t>
        </is>
      </c>
      <c r="J137" s="21" t="inlineStr">
        <is>
          <t>Switch + Compute</t>
        </is>
      </c>
      <c r="K137" s="21" t="inlineStr">
        <is>
          <t>BKC-26.12 plan</t>
        </is>
      </c>
      <c r="L137" t="inlineStr">
        <is>
          <t>Non-disruptive (est.)</t>
        </is>
      </c>
    </row>
    <row r="138" hidden="1" ht="32" customHeight="1" s="33">
      <c r="A138" s="7" t="inlineStr">
        <is>
          <t>TC-SEQ-004</t>
        </is>
      </c>
      <c r="B138" s="7" t="inlineStr">
        <is>
          <t>L3</t>
        </is>
      </c>
      <c r="C138" s="8" t="inlineStr">
        <is>
          <t>GPU reachability reported to Sideband Manager</t>
        </is>
      </c>
      <c r="D138" t="inlineStr">
        <is>
          <t>Yes</t>
        </is>
      </c>
      <c r="H138" t="inlineStr">
        <is>
          <t>[Automated, 19 Oct 2026] tests/afm/test_afm_observability.py (read-only; passes on the fake racks, not yet run on a rack)
Earlier: 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138" s="21" t="inlineStr">
        <is>
          <t>Switch + compute SSH (est.)</t>
        </is>
      </c>
      <c r="J138" s="21" t="inlineStr">
        <is>
          <t>Switch + Compute</t>
        </is>
      </c>
      <c r="K138" s="21" t="inlineStr">
        <is>
          <t>BKC-26.12 plan</t>
        </is>
      </c>
      <c r="L138" t="inlineStr">
        <is>
          <t>Non-disruptive (est.)</t>
        </is>
      </c>
    </row>
    <row r="139" hidden="1" ht="48" customHeight="1" s="33">
      <c r="A139" s="7" t="inlineStr">
        <is>
          <t>TC-SEQ-005</t>
        </is>
      </c>
      <c r="B139" s="7" t="inlineStr">
        <is>
          <t>L3</t>
        </is>
      </c>
      <c r="C139" s="8" t="inlineStr">
        <is>
          <t>Node Agent launched by Sideband Manager</t>
        </is>
      </c>
      <c r="D139" t="inlineStr">
        <is>
          <t>Yes</t>
        </is>
      </c>
      <c r="F139" t="inlineStr">
        <is>
          <t>FAIL</t>
        </is>
      </c>
      <c r="G139" t="inlineStr">
        <is>
          <t>SONiC.202505I20260915070938_x100.15; afm-agent/controller 202505I20260915070938_x100.15</t>
        </is>
      </c>
      <c r="H139" s="21" t="inlineStr">
        <is>
          <t>[g02-g17 full rack, non-disruptive switch + AFM API, 14 Oct 2026] slot 1: 0 sb-node-agents; slot 2: 0 sb-node-agents; slot 4: 0 sb-node-agents (helios-tests fullrack-switch-nd-filtered, g02-g17-20261014-092828, g02-g17-20261014-170350, g02-g17-20261014-170910)</t>
        </is>
      </c>
      <c r="I139" s="21" t="inlineStr">
        <is>
          <t>AFM API + switch SSH</t>
        </is>
      </c>
      <c r="J139" s="21" t="inlineStr">
        <is>
          <t>Switch</t>
        </is>
      </c>
      <c r="K139" s="21" t="inlineStr">
        <is>
          <t>BKC-26.12 plan</t>
        </is>
      </c>
      <c r="L139" t="inlineStr">
        <is>
          <t>Non-disruptive</t>
        </is>
      </c>
    </row>
    <row r="140" hidden="1" ht="32" customHeight="1" s="33">
      <c r="A140" s="7" t="inlineStr">
        <is>
          <t>TC-SEQ-006</t>
        </is>
      </c>
      <c r="B140" s="7" t="inlineStr">
        <is>
          <t>L3</t>
        </is>
      </c>
      <c r="C140" s="8" t="inlineStr">
        <is>
          <t>Control channel set up by Node Agent</t>
        </is>
      </c>
      <c r="D140" t="inlineStr">
        <is>
          <t>Yes</t>
        </is>
      </c>
      <c r="F140" t="inlineStr">
        <is>
          <t>PASS</t>
        </is>
      </c>
      <c r="G140" t="inlineStr">
        <is>
          <t>SONiC.202505I20260915070938_x100.15; afm-agent/controller 202505I20260915070938_x100.15; ROCm 10.2.0a20260922</t>
        </is>
      </c>
      <c r="H140" t="inlineStr">
        <is>
          <t>[g02-g17 full rack, rack health check: ran 2026-10-15 15:15 UTC (run g02-g17-20261015-151528), health result g02-g17-20261016-135436-merged] PASS.
Earlier: [g02-g17 full rack, non-disruptive compute / switch+compute, 14 Oct 2026 19:34-19:47 UTC, helios-tests g02-g17-20261014-194703 (jump host)] PASS: control channel set up by the node agents.</t>
        </is>
      </c>
      <c r="I140" s="21" t="inlineStr">
        <is>
          <t>Switch + compute SSH</t>
        </is>
      </c>
      <c r="J140" s="21" t="inlineStr">
        <is>
          <t>Switch + Compute</t>
        </is>
      </c>
      <c r="K140" s="21" t="inlineStr">
        <is>
          <t>BKC-26.12 plan</t>
        </is>
      </c>
      <c r="L140" t="inlineStr">
        <is>
          <t>Non-disruptive</t>
        </is>
      </c>
      <c r="M140" t="inlineStr">
        <is>
          <t>Blocker</t>
        </is>
      </c>
    </row>
    <row r="141" hidden="1" ht="32" customHeight="1" s="33">
      <c r="A141" s="7" t="inlineStr">
        <is>
          <t>TC-SEQ-008</t>
        </is>
      </c>
      <c r="B141" s="7" t="inlineStr">
        <is>
          <t>L3</t>
        </is>
      </c>
      <c r="C141" s="8" t="inlineStr">
        <is>
          <t>Compatibility check completed</t>
        </is>
      </c>
      <c r="D141" t="inlineStr">
        <is>
          <t>Yes</t>
        </is>
      </c>
      <c r="H141" t="inlineStr">
        <is>
          <t>[Automated, 19 Oct 2026] tests/afm/test_afm_observability.py (read-only; passes on the fake racks, not yet run on a rack)
Earlier: 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141" s="21" t="inlineStr">
        <is>
          <t>Switch + compute SSH (est.)</t>
        </is>
      </c>
      <c r="J141" s="21" t="inlineStr">
        <is>
          <t>Switch + Compute</t>
        </is>
      </c>
      <c r="K141" s="21" t="inlineStr">
        <is>
          <t>BKC-26.12 plan</t>
        </is>
      </c>
      <c r="L141" t="inlineStr">
        <is>
          <t>Non-disruptive (est.)</t>
        </is>
      </c>
    </row>
    <row r="142" hidden="1" ht="16" customHeight="1" s="33">
      <c r="A142" s="7" t="inlineStr">
        <is>
          <t>TC-SEQ-010</t>
        </is>
      </c>
      <c r="B142" s="7" t="inlineStr">
        <is>
          <t>L3</t>
        </is>
      </c>
      <c r="C142" s="8" t="inlineStr">
        <is>
          <t>Compute tray registered in Node Manager</t>
        </is>
      </c>
      <c r="D142" t="inlineStr">
        <is>
          <t>Yes</t>
        </is>
      </c>
      <c r="F142" t="inlineStr">
        <is>
          <t>PARTIAL</t>
        </is>
      </c>
      <c r="G142" t="inlineStr">
        <is>
          <t>SONiC.202505I20260915070938_x100.15; afm-agent/controller 202505I20260915070938_x100.15; ROCm 10.2.0a20260922</t>
        </is>
      </c>
      <c r="H142" t="inlineStr">
        <is>
          <t>[g02-g17 full rack, rack health check: ran 2026-10-16 05:22 UTC (run g02-g17-20261016-053848), health result g02-g17-20261016-135436-merged] PARTIAL: fails only because CT05 (10.255.4.51) is unreachable - the health check groups it under the root cause "ct05 unreachable"; passed on every reachable node.
Earlier: [g02-g17 full rack, non-disruptive AFM API, 14 Oct 2026 20:02-20:15 UTC, helios-tests g02-g17-20261014-131501] PARTIAL: every reachable compute tray is registered in AFM with its accelerator ids; not checked on CT02 (10.255.4.48), CT05 (10.255.4.51) and CT17 (10.255.4.63) unreachable (no SSH).</t>
        </is>
      </c>
      <c r="I142" s="21" t="inlineStr">
        <is>
          <t>AFM API + compute SSH</t>
        </is>
      </c>
      <c r="J142" s="21" t="inlineStr">
        <is>
          <t>Compute</t>
        </is>
      </c>
      <c r="K142" s="21" t="inlineStr">
        <is>
          <t>BKC-26.12 plan</t>
        </is>
      </c>
      <c r="L142" t="inlineStr">
        <is>
          <t>Non-disruptive</t>
        </is>
      </c>
      <c r="M142" t="inlineStr">
        <is>
          <t>Blocker</t>
        </is>
      </c>
    </row>
    <row r="143" hidden="1" ht="48" customHeight="1" s="33">
      <c r="A143" s="7" t="inlineStr">
        <is>
          <t>TC-SEQ-012</t>
        </is>
      </c>
      <c r="B143" s="7" t="inlineStr">
        <is>
          <t>L3</t>
        </is>
      </c>
      <c r="C143" s="8" t="inlineStr">
        <is>
          <t>Node Manager operational API responding</t>
        </is>
      </c>
      <c r="D143" t="inlineStr">
        <is>
          <t>Yes</t>
        </is>
      </c>
      <c r="F143" t="inlineStr">
        <is>
          <t>FAIL</t>
        </is>
      </c>
      <c r="G143" t="inlineStr">
        <is>
          <t>SONiC.202505I20260915070938_x100.15; afm-agent/controller 202505I20260915070938_x100.15</t>
        </is>
      </c>
      <c r="H143" s="21" t="inlineStr">
        <is>
          <t>[g02-g17 full rack, non-disruptive switch + AFM API, 14 Oct 2026] node-manager API not responding: ['slot 1: no agent', 'slot 13: no agent', 'slot 16: no agent', 'slot 2: no agent', 'slot 4: no agent'] (helios-tests fullrack-switch-nd-filtered, g02-g17-20261014-092828, g02-g17-20261014-170350, g02-g17-20261014-170910)</t>
        </is>
      </c>
      <c r="I143" s="21" t="inlineStr">
        <is>
          <t>AFM API + switch SSH</t>
        </is>
      </c>
      <c r="J143" s="21" t="inlineStr">
        <is>
          <t>Switch</t>
        </is>
      </c>
      <c r="K143" s="21" t="inlineStr">
        <is>
          <t>BKC-26.12 plan</t>
        </is>
      </c>
      <c r="L143" t="inlineStr">
        <is>
          <t>Non-disruptive</t>
        </is>
      </c>
    </row>
    <row r="144" hidden="1" ht="32" customHeight="1" s="33">
      <c r="A144" s="7" t="inlineStr">
        <is>
          <t>TC-SEQ-015</t>
        </is>
      </c>
      <c r="B144" s="7" t="inlineStr">
        <is>
          <t>L3</t>
        </is>
      </c>
      <c r="C144" s="8" t="inlineStr">
        <is>
          <t>Node Agent response propagated to Node Manager</t>
        </is>
      </c>
      <c r="D144" t="inlineStr">
        <is>
          <t>Yes</t>
        </is>
      </c>
      <c r="H144" t="inlineStr">
        <is>
          <t>[Automated, 19 Oct 2026] tests/afm/test_afm_observability.py (read-only; passes on the fake racks, not yet run on a rack)
Earlier: 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144" s="21" t="inlineStr">
        <is>
          <t>Switch + compute SSH (est.)</t>
        </is>
      </c>
      <c r="J144" s="21" t="inlineStr">
        <is>
          <t>Switch + Compute</t>
        </is>
      </c>
      <c r="K144" s="21" t="inlineStr">
        <is>
          <t>BKC-26.12 plan</t>
        </is>
      </c>
      <c r="L144" t="inlineStr">
        <is>
          <t>Non-disruptive (est.)</t>
        </is>
      </c>
    </row>
    <row r="145" hidden="1" ht="32" customHeight="1" s="33">
      <c r="A145" s="7" t="inlineStr">
        <is>
          <t>TC-TRG-001</t>
        </is>
      </c>
      <c r="B145" s="7" t="inlineStr">
        <is>
          <t>L3</t>
        </is>
      </c>
      <c r="C145" s="8" t="inlineStr">
        <is>
          <t>[Link] Link flap under traffic - data-path traffic continues on the other links and recovers</t>
        </is>
      </c>
      <c r="D145" t="inlineStr">
        <is>
          <t>Yes</t>
        </is>
      </c>
      <c r="I145" s="21" t="inlineStr">
        <is>
          <t>AFM API + switch + compute SSH + datapath traffic</t>
        </is>
      </c>
      <c r="J145" s="21" t="inlineStr">
        <is>
          <t>Switch + Compute</t>
        </is>
      </c>
      <c r="K145" s="21" t="inlineStr">
        <is>
          <t>BKC-26.12 plan</t>
        </is>
      </c>
      <c r="L145" t="inlineStr">
        <is>
          <t>Disruptive</t>
        </is>
      </c>
    </row>
    <row r="146" hidden="1" ht="32" customHeight="1" s="33">
      <c r="A146" s="7" t="inlineStr">
        <is>
          <t>TC-TRG-008</t>
        </is>
      </c>
      <c r="B146" s="7" t="inlineStr">
        <is>
          <t>L3</t>
        </is>
      </c>
      <c r="C146" s="8" t="inlineStr">
        <is>
          <t>DP traffic during GPU fault</t>
        </is>
      </c>
      <c r="D146" t="inlineStr">
        <is>
          <t>No</t>
        </is>
      </c>
      <c r="F146" t="inlineStr">
        <is>
          <t>NA</t>
        </is>
      </c>
      <c r="H146" t="inlineStr">
        <is>
          <t>[Not automated, 15 Oct 2026] Reason: needs a GPU fault that cannot be injected. Needed (from AMD / lab): A supported way to inject each fault (debug knob, test build, sysfs override), and how to clear it afterwards. (details: docs/amd-inputs.html in helios-tests)</t>
        </is>
      </c>
      <c r="I146" s="21" t="inlineStr">
        <is>
          <t>Switch + compute SSH (est.)</t>
        </is>
      </c>
      <c r="J146" s="21" t="inlineStr">
        <is>
          <t>Switch + Compute</t>
        </is>
      </c>
      <c r="K146" s="21" t="inlineStr">
        <is>
          <t>BKC-26.12 plan</t>
        </is>
      </c>
      <c r="L146" t="inlineStr">
        <is>
          <t>Non-disruptive (est.)</t>
        </is>
      </c>
    </row>
    <row r="147" ht="32" customHeight="1" s="33">
      <c r="A147" s="7" t="inlineStr">
        <is>
          <t>TC-TRG-012</t>
        </is>
      </c>
      <c r="B147" s="7" t="inlineStr">
        <is>
          <t>L3</t>
        </is>
      </c>
      <c r="C147" s="8" t="inlineStr">
        <is>
          <t>GPU fault injection — IFCP CP unaffected on other GPUs</t>
        </is>
      </c>
      <c r="D147" t="inlineStr">
        <is>
          <t>Yes</t>
        </is>
      </c>
      <c r="H147" t="inlineStr">
        <is>
          <t>[Automated, 19 Oct 2026] tests/afm/test_afm_ifcp.py, two parts: (A) one GPU reset with afmctl reset device -b &lt;bdf&gt;; (B) one GPU isolated (all its ports idle with afmctl update port). Pass = no IFCP session of any other GPU drops and AFM marks no other GPU port PortFailed; the faulted GPU recovers. Blocked if the tray's GPUs are in use (amd-smi process). Disruptive - not run on a rack yet. A RAS error-injection variant still needs AMD (see below).
Earlier: [Not automated, 15 Oct 2026] Reason: needs a GPU fault that cannot be injected. Needed (from AMD / lab): A supported way to inject each fault (debug knob, test build, sysfs override), and how to clear it afterwards. (details: docs/amd-inputs.html in helios-tests)</t>
        </is>
      </c>
      <c r="I147" s="21" t="inlineStr">
        <is>
          <t>Switch + compute SSH (est.)</t>
        </is>
      </c>
      <c r="J147" s="21" t="inlineStr">
        <is>
          <t>Switch + Compute</t>
        </is>
      </c>
      <c r="K147" s="21" t="inlineStr">
        <is>
          <t>BKC-26.12 plan</t>
        </is>
      </c>
      <c r="L147" t="inlineStr">
        <is>
          <t>Disruptive (est.)</t>
        </is>
      </c>
    </row>
    <row r="148" ht="32" customHeight="1" s="33">
      <c r="A148" s="7" t="inlineStr">
        <is>
          <t>TC-TRG-002</t>
        </is>
      </c>
      <c r="B148" s="7" t="inlineStr">
        <is>
          <t>L3</t>
        </is>
      </c>
      <c r="C148" s="8" t="inlineStr">
        <is>
          <t>[Link] Link flap of the active control link - the control path drops and recovers</t>
        </is>
      </c>
      <c r="D148" t="inlineStr">
        <is>
          <t>No</t>
        </is>
      </c>
      <c r="F148" s="18" t="inlineStr">
        <is>
          <t>NA</t>
        </is>
      </c>
      <c r="H148" t="inlineStr">
        <is>
          <t>[Not automated, 15 Oct 2026] Reason: no API / command shows the sideband control sessions. Needed (from AMD / lab): How to tell which of a GPU's links is currently the active control link, so we can flap that specific link (TRG-002/003). (details: docs/amd-inputs.html in helios-tests)</t>
        </is>
      </c>
      <c r="I148" s="21" t="inlineStr">
        <is>
          <t>Switch + compute SSH (est.)</t>
        </is>
      </c>
      <c r="J148" s="21" t="inlineStr">
        <is>
          <t>Switch + Compute</t>
        </is>
      </c>
      <c r="K148" s="21" t="inlineStr">
        <is>
          <t>BKC-26.12 plan</t>
        </is>
      </c>
      <c r="L148" t="inlineStr">
        <is>
          <t>Disruptive (est.)</t>
        </is>
      </c>
    </row>
    <row r="149" ht="32" customHeight="1" s="33">
      <c r="A149" s="7" t="inlineStr">
        <is>
          <t>TC-TRG-003</t>
        </is>
      </c>
      <c r="B149" s="7" t="inlineStr">
        <is>
          <t>L3</t>
        </is>
      </c>
      <c r="C149" s="8" t="inlineStr">
        <is>
          <t>Bring down all 6 CP links — sessions drop then recover</t>
        </is>
      </c>
      <c r="D149" t="inlineStr">
        <is>
          <t>No</t>
        </is>
      </c>
      <c r="F149" s="18" t="inlineStr">
        <is>
          <t>NA</t>
        </is>
      </c>
      <c r="H149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149" s="21" t="inlineStr">
        <is>
          <t>Switch + compute SSH (est.)</t>
        </is>
      </c>
      <c r="J149" s="21" t="inlineStr">
        <is>
          <t>Switch + Compute</t>
        </is>
      </c>
      <c r="K149" s="21" t="inlineStr">
        <is>
          <t>BKC-26.12 plan</t>
        </is>
      </c>
      <c r="L149" t="inlineStr">
        <is>
          <t>Disruptive (est.)</t>
        </is>
      </c>
    </row>
    <row r="150" hidden="1" ht="32" customHeight="1" s="33">
      <c r="A150" s="7" t="inlineStr">
        <is>
          <t>TC-TRG-004</t>
        </is>
      </c>
      <c r="B150" s="7" t="inlineStr">
        <is>
          <t>L3</t>
        </is>
      </c>
      <c r="C150" s="8" t="inlineStr">
        <is>
          <t>Switch drain — CP sessions unaffected</t>
        </is>
      </c>
      <c r="D150" t="inlineStr">
        <is>
          <t>Yes</t>
        </is>
      </c>
      <c r="I150" s="21" t="inlineStr">
        <is>
          <t>AFM API + switch + compute SSH</t>
        </is>
      </c>
      <c r="J150" s="21" t="inlineStr">
        <is>
          <t>Switch + Compute</t>
        </is>
      </c>
      <c r="K150" s="21" t="inlineStr">
        <is>
          <t>BKC-26.12 plan</t>
        </is>
      </c>
      <c r="L150" t="inlineStr">
        <is>
          <t>Disruptive</t>
        </is>
      </c>
    </row>
    <row r="151" hidden="1" ht="32" customHeight="1" s="33">
      <c r="A151" s="7" t="inlineStr">
        <is>
          <t>TC-TRG-005</t>
        </is>
      </c>
      <c r="B151" s="7" t="inlineStr">
        <is>
          <t>L3</t>
        </is>
      </c>
      <c r="C151" s="8" t="inlineStr">
        <is>
          <t>GPU port drain via AFM API — CP sessions unaffected</t>
        </is>
      </c>
      <c r="D151" t="inlineStr">
        <is>
          <t>Yes</t>
        </is>
      </c>
      <c r="I151" s="21" t="inlineStr">
        <is>
          <t>AFM API + switch + compute SSH</t>
        </is>
      </c>
      <c r="J151" s="21" t="inlineStr">
        <is>
          <t>Switch + Compute</t>
        </is>
      </c>
      <c r="K151" s="21" t="inlineStr">
        <is>
          <t>BKC-26.12 plan</t>
        </is>
      </c>
      <c r="L151" t="inlineStr">
        <is>
          <t>Disruptive</t>
        </is>
      </c>
    </row>
    <row r="152" hidden="1" ht="16" customHeight="1" s="33">
      <c r="A152" s="7" t="inlineStr">
        <is>
          <t>TC-TRG-006</t>
        </is>
      </c>
      <c r="B152" s="7" t="inlineStr">
        <is>
          <t>L3</t>
        </is>
      </c>
      <c r="C152" s="8" t="inlineStr">
        <is>
          <t>vPOD membership change — IFCP sessions re-negotiate</t>
        </is>
      </c>
      <c r="D152" t="inlineStr">
        <is>
          <t>Yes</t>
        </is>
      </c>
      <c r="I152" s="21" t="inlineStr">
        <is>
          <t>AFM API + compute SSH</t>
        </is>
      </c>
      <c r="J152" s="21" t="inlineStr">
        <is>
          <t>Compute</t>
        </is>
      </c>
      <c r="K152" s="21" t="inlineStr">
        <is>
          <t>BKC-26.12 plan</t>
        </is>
      </c>
      <c r="L152" t="inlineStr">
        <is>
          <t>Disruptive</t>
        </is>
      </c>
    </row>
    <row r="153" hidden="1" ht="32" customHeight="1" s="33">
      <c r="A153" s="7" t="inlineStr">
        <is>
          <t>TC-TRG-009</t>
        </is>
      </c>
      <c r="B153" s="7" t="inlineStr">
        <is>
          <t>L3</t>
        </is>
      </c>
      <c r="C153" s="8" t="inlineStr">
        <is>
          <t>VLAN creation — CP traffic unaffected</t>
        </is>
      </c>
      <c r="D153" t="inlineStr">
        <is>
          <t>Yes</t>
        </is>
      </c>
      <c r="I153" s="21" t="inlineStr">
        <is>
          <t>AFM API + switch + compute SSH</t>
        </is>
      </c>
      <c r="J153" s="21" t="inlineStr">
        <is>
          <t>Switch + Compute</t>
        </is>
      </c>
      <c r="K153" s="21" t="inlineStr">
        <is>
          <t>BKC-26.12 plan</t>
        </is>
      </c>
      <c r="L153" t="inlineStr">
        <is>
          <t>Disruptive</t>
        </is>
      </c>
    </row>
    <row r="154" hidden="1" ht="16" customHeight="1" s="33">
      <c r="A154" s="7" t="inlineStr">
        <is>
          <t>TC-TRG-010</t>
        </is>
      </c>
      <c r="B154" s="7" t="inlineStr">
        <is>
          <t>L3</t>
        </is>
      </c>
      <c r="C154" s="8" t="inlineStr">
        <is>
          <t>[Link] Link down (compute side) - a port shut on the tray: link down detected, then recovery</t>
        </is>
      </c>
      <c r="D154" t="inlineStr">
        <is>
          <t>Yes</t>
        </is>
      </c>
      <c r="I154" s="21" t="inlineStr">
        <is>
          <t>AFM API + compute SSH</t>
        </is>
      </c>
      <c r="J154" s="21" t="inlineStr">
        <is>
          <t>Compute</t>
        </is>
      </c>
      <c r="K154" s="21" t="inlineStr">
        <is>
          <t>BKC-26.12 plan</t>
        </is>
      </c>
      <c r="L154" t="inlineStr">
        <is>
          <t>Disruptive</t>
        </is>
      </c>
    </row>
    <row r="155" hidden="1" ht="32" customHeight="1" s="33">
      <c r="A155" s="7" t="inlineStr">
        <is>
          <t>TC-TRG-011</t>
        </is>
      </c>
      <c r="B155" s="7" t="inlineStr">
        <is>
          <t>L3</t>
        </is>
      </c>
      <c r="C155" s="8" t="inlineStr">
        <is>
          <t>GPU unhealthy — CP sessions remain active</t>
        </is>
      </c>
      <c r="D155" t="inlineStr">
        <is>
          <t>No</t>
        </is>
      </c>
      <c r="F155" t="inlineStr">
        <is>
          <t>NA</t>
        </is>
      </c>
      <c r="H155" t="inlineStr">
        <is>
          <t>[Not automated, 15 Oct 2026] Reason: needs a GPU fault that cannot be injected. Needed (from AMD / lab): A supported way to inject each fault (debug knob, test build, sysfs override), and how to clear it afterwards. (details: docs/amd-inputs.html in helios-tests)</t>
        </is>
      </c>
      <c r="I155" s="21" t="inlineStr">
        <is>
          <t>Switch + compute SSH (est.)</t>
        </is>
      </c>
      <c r="J155" s="21" t="inlineStr">
        <is>
          <t>Switch + Compute</t>
        </is>
      </c>
      <c r="K155" s="21" t="inlineStr">
        <is>
          <t>BKC-26.12 plan</t>
        </is>
      </c>
      <c r="L155" t="inlineStr">
        <is>
          <t>Non-disruptive (est.)</t>
        </is>
      </c>
    </row>
    <row r="156" hidden="1" ht="32" customHeight="1" s="33">
      <c r="A156" s="7" t="inlineStr">
        <is>
          <t>TC-E2E-006</t>
        </is>
      </c>
      <c r="B156" s="7" t="inlineStr">
        <is>
          <t>L3</t>
        </is>
      </c>
      <c r="C156" s="8" t="inlineStr">
        <is>
          <t>The default system-failover-policy is created in AFM with correct specs</t>
        </is>
      </c>
      <c r="D156" t="inlineStr">
        <is>
          <t>Yes</t>
        </is>
      </c>
      <c r="F156" t="inlineStr">
        <is>
          <t>PASS</t>
        </is>
      </c>
      <c r="G156" t="inlineStr">
        <is>
          <t>SONiC.202505I20260915070938_x100.15; afm-agent/controller 202505I20260915070938_x100.15</t>
        </is>
      </c>
      <c r="H156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156" s="21" t="inlineStr">
        <is>
          <t>AFM API</t>
        </is>
      </c>
      <c r="J156" s="21" t="inlineStr">
        <is>
          <t>Switch (AFM API)</t>
        </is>
      </c>
      <c r="K156" s="21" t="inlineStr">
        <is>
          <t>BKC-26.12 plan</t>
        </is>
      </c>
      <c r="L156" t="inlineStr">
        <is>
          <t>Non-disruptive</t>
        </is>
      </c>
    </row>
    <row r="157" hidden="1" ht="16" customHeight="1" s="33">
      <c r="A157" s="7" t="inlineStr">
        <is>
          <t>TC-E2E-009</t>
        </is>
      </c>
      <c r="B157" s="7" t="inlineStr">
        <is>
          <t>L3</t>
        </is>
      </c>
      <c r="C157" s="8" t="inlineStr">
        <is>
          <t>The execute ping check.sh script for the default vPOD</t>
        </is>
      </c>
      <c r="D157" t="inlineStr">
        <is>
          <t>Yes</t>
        </is>
      </c>
      <c r="F157" t="inlineStr">
        <is>
          <t>PARTIAL</t>
        </is>
      </c>
      <c r="G157" t="inlineStr">
        <is>
          <t>SONiC.202505I20260915070938_x100.15; afm-agent/controller 202505I20260915070938_x100.15; ROCm 10.2.0a20260922</t>
        </is>
      </c>
      <c r="H157" t="inlineStr">
        <is>
          <t>[g02-g17 full rack, AFM API + compute, 14 Oct 2026 21:22-21:34 UTC, helios-tests g02-g17-20261014-213410 (jump host, AFM direct)] PARTIAL: default-vPOD ping check passed for all 128 tray pairs on every tray the pre-flight kept (CT02 back since ~20:38 UTC); excluded CT05, CT17 (unreachable). An earlier run at 20:15 UTC was blocked by the jump host's 2-session limit.</t>
        </is>
      </c>
      <c r="I157" s="21" t="inlineStr">
        <is>
          <t>AFM API + compute SSH + datapath traffic</t>
        </is>
      </c>
      <c r="J157" s="21" t="inlineStr">
        <is>
          <t>Compute</t>
        </is>
      </c>
      <c r="K157" s="21" t="inlineStr">
        <is>
          <t>BKC-26.12 plan</t>
        </is>
      </c>
      <c r="L157" t="inlineStr">
        <is>
          <t>Non-disruptive</t>
        </is>
      </c>
    </row>
    <row r="158" hidden="1" ht="32" customHeight="1" s="33">
      <c r="A158" s="7" t="inlineStr">
        <is>
          <t>TC-E2E-011</t>
        </is>
      </c>
      <c r="B158" s="7" t="inlineStr">
        <is>
          <t>L3</t>
        </is>
      </c>
      <c r="C158" s="8" t="inlineStr">
        <is>
          <t>Read a non-existent failover policy in AFM</t>
        </is>
      </c>
      <c r="D158" t="inlineStr">
        <is>
          <t>Yes</t>
        </is>
      </c>
      <c r="F158" t="inlineStr">
        <is>
          <t>PASS</t>
        </is>
      </c>
      <c r="G158" t="inlineStr">
        <is>
          <t>SONiC.202505I20260915070938_x100.15; afm-agent/controller 202505I20260915070938_x100.15</t>
        </is>
      </c>
      <c r="H158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158" s="21" t="inlineStr">
        <is>
          <t>AFM API</t>
        </is>
      </c>
      <c r="J158" s="21" t="inlineStr">
        <is>
          <t>Switch (AFM API)</t>
        </is>
      </c>
      <c r="K158" s="21" t="inlineStr">
        <is>
          <t>BKC-26.12 plan</t>
        </is>
      </c>
      <c r="L158" t="inlineStr">
        <is>
          <t>Non-disruptive</t>
        </is>
      </c>
    </row>
    <row r="159" hidden="1" ht="32" customHeight="1" s="33">
      <c r="A159" s="7" t="inlineStr">
        <is>
          <t>TC-E2E-015</t>
        </is>
      </c>
      <c r="B159" s="7" t="inlineStr">
        <is>
          <t>L3</t>
        </is>
      </c>
      <c r="C159" s="8" t="inlineStr">
        <is>
          <t>Create a failover policy without specifying threshold in AFM</t>
        </is>
      </c>
      <c r="D159" t="inlineStr">
        <is>
          <t>Yes</t>
        </is>
      </c>
      <c r="F159" t="inlineStr">
        <is>
          <t>PASS</t>
        </is>
      </c>
      <c r="G159" t="inlineStr">
        <is>
          <t>SONiC.202505I20260915070938_x100.15; afm-agent/controller 202505I20260915070938_x100.15</t>
        </is>
      </c>
      <c r="H159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159" s="21" t="inlineStr">
        <is>
          <t>AFM API</t>
        </is>
      </c>
      <c r="J159" s="21" t="inlineStr">
        <is>
          <t>Switch (AFM API)</t>
        </is>
      </c>
      <c r="K159" s="21" t="inlineStr">
        <is>
          <t>BKC-26.12 plan</t>
        </is>
      </c>
      <c r="L159" t="inlineStr">
        <is>
          <t>Non-disruptive</t>
        </is>
      </c>
    </row>
    <row r="160" hidden="1" ht="32" customHeight="1" s="33">
      <c r="A160" s="7" t="inlineStr">
        <is>
          <t>TC-E2E-021</t>
        </is>
      </c>
      <c r="B160" s="7" t="inlineStr">
        <is>
          <t>L3</t>
        </is>
      </c>
      <c r="C160" s="8" t="inlineStr">
        <is>
          <t>Create a vPOD with a name ending with '.system' in AFM</t>
        </is>
      </c>
      <c r="D160" t="inlineStr">
        <is>
          <t>Yes</t>
        </is>
      </c>
      <c r="F160" t="inlineStr">
        <is>
          <t>PASS</t>
        </is>
      </c>
      <c r="G160" t="inlineStr">
        <is>
          <t>SONiC.202505I20260915070938_x100.15; afm-agent/controller 202505I20260915070938_x100.15</t>
        </is>
      </c>
      <c r="H160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160" s="21" t="inlineStr">
        <is>
          <t>AFM API</t>
        </is>
      </c>
      <c r="J160" s="21" t="inlineStr">
        <is>
          <t>Switch (AFM API)</t>
        </is>
      </c>
      <c r="K160" s="21" t="inlineStr">
        <is>
          <t>BKC-26.12 plan</t>
        </is>
      </c>
      <c r="L160" t="inlineStr">
        <is>
          <t>Non-disruptive</t>
        </is>
      </c>
    </row>
    <row r="161" hidden="1" ht="32" customHeight="1" s="33">
      <c r="A161" s="7" t="inlineStr">
        <is>
          <t>TC-E2E-025</t>
        </is>
      </c>
      <c r="B161" s="7" t="inlineStr">
        <is>
          <t>L3</t>
        </is>
      </c>
      <c r="C161" s="8" t="inlineStr">
        <is>
          <t>The appropriate event is generated for the removal of a compute node from a user-defined vPOD…</t>
        </is>
      </c>
      <c r="D161" t="inlineStr">
        <is>
          <t>Yes</t>
        </is>
      </c>
      <c r="F161" t="inlineStr">
        <is>
          <t>PARTIAL</t>
        </is>
      </c>
      <c r="G161" t="inlineStr">
        <is>
          <t>AFM 0.1.0-AICC-817</t>
        </is>
      </c>
      <c r="H161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61" s="21" t="inlineStr">
        <is>
          <t>AFM API (disruptive)</t>
        </is>
      </c>
      <c r="J161" s="21" t="inlineStr">
        <is>
          <t>Switch (AFM API)</t>
        </is>
      </c>
      <c r="K161" s="21" t="inlineStr">
        <is>
          <t>BKC-26.12 plan</t>
        </is>
      </c>
      <c r="L161" t="inlineStr">
        <is>
          <t>Disruptive</t>
        </is>
      </c>
    </row>
    <row r="162" hidden="1" ht="32" customHeight="1" s="33">
      <c r="A162" s="7" t="inlineStr">
        <is>
          <t>TC-E2E-030</t>
        </is>
      </c>
      <c r="B162" s="7" t="inlineStr">
        <is>
          <t>L3</t>
        </is>
      </c>
      <c r="C162" s="8" t="inlineStr">
        <is>
          <t>Move multiple computes from the system vPOD to a user-defined vPOD in AFM</t>
        </is>
      </c>
      <c r="D162" t="inlineStr">
        <is>
          <t>Yes</t>
        </is>
      </c>
      <c r="F162" t="inlineStr">
        <is>
          <t>PARTIAL</t>
        </is>
      </c>
      <c r="G162" t="inlineStr">
        <is>
          <t>AFM 0.1.0-AICC-817</t>
        </is>
      </c>
      <c r="H162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62" s="21" t="inlineStr">
        <is>
          <t>AFM API (disruptive)</t>
        </is>
      </c>
      <c r="J162" s="21" t="inlineStr">
        <is>
          <t>Switch (AFM API)</t>
        </is>
      </c>
      <c r="K162" s="21" t="inlineStr">
        <is>
          <t>BKC-26.12 plan</t>
        </is>
      </c>
      <c r="L162" t="inlineStr">
        <is>
          <t>Disruptive</t>
        </is>
      </c>
    </row>
    <row r="163" hidden="1" ht="32" customHeight="1" s="33">
      <c r="A163" s="7" t="inlineStr">
        <is>
          <t>TC-E2E-033</t>
        </is>
      </c>
      <c r="B163" s="7" t="inlineStr">
        <is>
          <t>L3</t>
        </is>
      </c>
      <c r="C163" s="8" t="inlineStr">
        <is>
          <t>Attempt moving all compute nodes to the system vPOD in AFM, resulting in a fully populated…</t>
        </is>
      </c>
      <c r="D163" t="inlineStr">
        <is>
          <t>Yes</t>
        </is>
      </c>
      <c r="F163" t="inlineStr">
        <is>
          <t>PARTIAL</t>
        </is>
      </c>
      <c r="G163" t="inlineStr">
        <is>
          <t>AFM 0.1.0-AICC-817</t>
        </is>
      </c>
      <c r="H16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63" s="21" t="inlineStr">
        <is>
          <t>AFM API (disruptive)</t>
        </is>
      </c>
      <c r="J163" s="21" t="inlineStr">
        <is>
          <t>Switch (AFM API)</t>
        </is>
      </c>
      <c r="K163" s="21" t="inlineStr">
        <is>
          <t>BKC-26.12 plan</t>
        </is>
      </c>
      <c r="L163" t="inlineStr">
        <is>
          <t>Disruptive</t>
        </is>
      </c>
    </row>
    <row r="164" hidden="1" ht="32" customHeight="1" s="33">
      <c r="A164" s="7" t="inlineStr">
        <is>
          <t>TC-E2E-040</t>
        </is>
      </c>
      <c r="B164" s="7" t="inlineStr">
        <is>
          <t>L3</t>
        </is>
      </c>
      <c r="C164" s="8" t="inlineStr">
        <is>
          <t>Delete a failover policy after the associated vPOD has been deleted in AFM</t>
        </is>
      </c>
      <c r="D164" t="inlineStr">
        <is>
          <t>Yes</t>
        </is>
      </c>
      <c r="F164" t="inlineStr">
        <is>
          <t>PARTIAL</t>
        </is>
      </c>
      <c r="G164" t="inlineStr">
        <is>
          <t>AFM 0.1.0-AICC-817</t>
        </is>
      </c>
      <c r="H164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64" s="21" t="inlineStr">
        <is>
          <t>AFM API (disruptive)</t>
        </is>
      </c>
      <c r="J164" s="21" t="inlineStr">
        <is>
          <t>Switch (AFM API)</t>
        </is>
      </c>
      <c r="K164" s="21" t="inlineStr">
        <is>
          <t>BKC-26.12 plan</t>
        </is>
      </c>
      <c r="L164" t="inlineStr">
        <is>
          <t>Disruptive</t>
        </is>
      </c>
    </row>
    <row r="165" hidden="1" ht="32" customHeight="1" s="33">
      <c r="A165" s="7" t="inlineStr">
        <is>
          <t>TC-E2E-042</t>
        </is>
      </c>
      <c r="B165" s="7" t="inlineStr">
        <is>
          <t>L3</t>
        </is>
      </c>
      <c r="C165" s="8" t="inlineStr">
        <is>
          <t>Perform CRUD operations on multiple vPODs in parallel in AFM</t>
        </is>
      </c>
      <c r="D165" t="inlineStr">
        <is>
          <t>Yes</t>
        </is>
      </c>
      <c r="F165" t="inlineStr">
        <is>
          <t>PARTIAL</t>
        </is>
      </c>
      <c r="G165" t="inlineStr">
        <is>
          <t>AFM 0.1.0-AICC-817</t>
        </is>
      </c>
      <c r="H16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65" s="21" t="inlineStr">
        <is>
          <t>AFM API (disruptive)</t>
        </is>
      </c>
      <c r="J165" s="21" t="inlineStr">
        <is>
          <t>Switch (AFM API)</t>
        </is>
      </c>
      <c r="K165" s="21" t="inlineStr">
        <is>
          <t>BKC-26.12 plan</t>
        </is>
      </c>
      <c r="L165" t="inlineStr">
        <is>
          <t>Disruptive</t>
        </is>
      </c>
    </row>
    <row r="166" hidden="1" ht="16" customHeight="1" s="33">
      <c r="A166" s="7" t="inlineStr">
        <is>
          <t>TC-E2E-048</t>
        </is>
      </c>
      <c r="B166" s="7" t="inlineStr">
        <is>
          <t>L3</t>
        </is>
      </c>
      <c r="C166" s="8" t="inlineStr">
        <is>
          <t>Appropriate events are generated in AFM when multiple links between compute and switch come…</t>
        </is>
      </c>
      <c r="D166" t="inlineStr">
        <is>
          <t>Yes</t>
        </is>
      </c>
      <c r="F166" t="inlineStr">
        <is>
          <t>PARTIAL</t>
        </is>
      </c>
      <c r="G166" t="inlineStr">
        <is>
          <t>AFM 0.1.0-AICC-817</t>
        </is>
      </c>
      <c r="H166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66" s="21" t="inlineStr">
        <is>
          <t>AFM API + switch SSH</t>
        </is>
      </c>
      <c r="J166" s="21" t="inlineStr">
        <is>
          <t>Switch</t>
        </is>
      </c>
      <c r="K166" s="21" t="inlineStr">
        <is>
          <t>BKC-26.12 plan</t>
        </is>
      </c>
      <c r="L166" t="inlineStr">
        <is>
          <t>Disruptive</t>
        </is>
      </c>
    </row>
    <row r="167" hidden="1" ht="16" customHeight="1" s="33">
      <c r="A167" s="7" t="inlineStr">
        <is>
          <t>TC-E2E-052</t>
        </is>
      </c>
      <c r="B167" s="7" t="inlineStr">
        <is>
          <t>L3</t>
        </is>
      </c>
      <c r="C167" s="8" t="inlineStr">
        <is>
          <t>Manual fabric reconfiguration when a switch port goes down</t>
        </is>
      </c>
      <c r="D167" t="inlineStr">
        <is>
          <t>Yes</t>
        </is>
      </c>
      <c r="F167" t="inlineStr">
        <is>
          <t>PARTIAL</t>
        </is>
      </c>
      <c r="G167" t="inlineStr">
        <is>
          <t>AFM 0.1.0-AICC-817</t>
        </is>
      </c>
      <c r="H167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67" s="21" t="inlineStr">
        <is>
          <t>AFM API + switch SSH</t>
        </is>
      </c>
      <c r="J167" s="21" t="inlineStr">
        <is>
          <t>Switch</t>
        </is>
      </c>
      <c r="K167" s="21" t="inlineStr">
        <is>
          <t>BKC-26.12 plan</t>
        </is>
      </c>
      <c r="L167" t="inlineStr">
        <is>
          <t>Disruptive</t>
        </is>
      </c>
    </row>
    <row r="168" hidden="1" ht="16" customHeight="1" s="33">
      <c r="A168" s="7" t="inlineStr">
        <is>
          <t>TC-E2E-055</t>
        </is>
      </c>
      <c r="B168" s="7" t="inlineStr">
        <is>
          <t>L3</t>
        </is>
      </c>
      <c r="C168" s="8" t="inlineStr">
        <is>
          <t>[Link] Link-fail threshold - the link_failed event is raised only after the configured threshold</t>
        </is>
      </c>
      <c r="D168" t="inlineStr">
        <is>
          <t>Yes</t>
        </is>
      </c>
      <c r="F168" t="inlineStr">
        <is>
          <t>PARTIAL</t>
        </is>
      </c>
      <c r="G168" t="inlineStr">
        <is>
          <t>AFM 0.1.0-AICC-817</t>
        </is>
      </c>
      <c r="H168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68" s="21" t="inlineStr">
        <is>
          <t>AFM API + switch SSH</t>
        </is>
      </c>
      <c r="J168" s="21" t="inlineStr">
        <is>
          <t>Switch</t>
        </is>
      </c>
      <c r="K168" s="21" t="inlineStr">
        <is>
          <t>BKC-26.12 plan</t>
        </is>
      </c>
      <c r="L168" t="inlineStr">
        <is>
          <t>Disruptive</t>
        </is>
      </c>
    </row>
    <row r="169" hidden="1" ht="16" customHeight="1" s="33">
      <c r="A169" s="7" t="inlineStr">
        <is>
          <t>TC-E2E-056</t>
        </is>
      </c>
      <c r="B169" s="7" t="inlineStr">
        <is>
          <t>L3</t>
        </is>
      </c>
      <c r="C169" s="8" t="inlineStr">
        <is>
          <t>vPOD behavior when link recovers after vPOD was reconfigured to degraded state</t>
        </is>
      </c>
      <c r="D169" t="inlineStr">
        <is>
          <t>Yes</t>
        </is>
      </c>
      <c r="F169" t="inlineStr">
        <is>
          <t>PARTIAL</t>
        </is>
      </c>
      <c r="G169" t="inlineStr">
        <is>
          <t>AFM 0.1.0-AICC-817</t>
        </is>
      </c>
      <c r="H169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69" s="21" t="inlineStr">
        <is>
          <t>AFM API + switch SSH</t>
        </is>
      </c>
      <c r="J169" s="21" t="inlineStr">
        <is>
          <t>Switch</t>
        </is>
      </c>
      <c r="K169" s="21" t="inlineStr">
        <is>
          <t>BKC-26.12 plan</t>
        </is>
      </c>
      <c r="L169" t="inlineStr">
        <is>
          <t>Disruptive</t>
        </is>
      </c>
    </row>
    <row r="170" hidden="1" ht="32" customHeight="1" s="33">
      <c r="A170" s="7" t="inlineStr">
        <is>
          <t>TC-E2E-062</t>
        </is>
      </c>
      <c r="B170" s="7" t="inlineStr">
        <is>
          <t>L3</t>
        </is>
      </c>
      <c r="C170" s="8" t="inlineStr">
        <is>
          <t>Topo registration when topo matches CSV</t>
        </is>
      </c>
      <c r="D170" t="inlineStr">
        <is>
          <t>Yes</t>
        </is>
      </c>
      <c r="F170" t="inlineStr">
        <is>
          <t>PARTIAL</t>
        </is>
      </c>
      <c r="G170" t="inlineStr">
        <is>
          <t>SONiC.202505I20260915070938_x100.15; afm-agent/controller 202505I20260915070938_x100.15; ROCm 10.2.0a20260922</t>
        </is>
      </c>
      <c r="H170" t="inlineStr">
        <is>
          <t>[g02-g17 link scan, 18 Oct 2026 16:17 and 16:26 UTC, helios-debug tools/link_check.py scan with the switch ASIC's Broadcom view per lane (read-only); results/link-check/g02-g17/scan-20261018-161735, -162653] Link scans 18 Oct: the IFCP peer of every working GPU link (2,441 at 16:26 UTC) is the switch port whose description names that GPU port - no miscabling. Status unchanged.
Earlier: [g02-g17 full rack, rerun after test fix, 14 Oct 2026 20:13 UTC, helios-tests g02-g17-20261014-201311 (jump host)] PARTIAL: every IFCP peer is the switch port whose description names that GPU port (same port id, one slot per tray; GPU numbering reversed within each tray as in TC-HW-013). Not checked on CT02 (10.255.4.48), CT05 (10.255.4.51) and CT17 (10.255.4.63) unreachable (no SSH).</t>
        </is>
      </c>
      <c r="I170" s="21" t="inlineStr">
        <is>
          <t>Switch + compute SSH</t>
        </is>
      </c>
      <c r="J170" s="21" t="inlineStr">
        <is>
          <t>Switch + Compute</t>
        </is>
      </c>
      <c r="K170" s="21" t="inlineStr">
        <is>
          <t>BKC-26.12 plan</t>
        </is>
      </c>
      <c r="L170" t="inlineStr">
        <is>
          <t>Non-disruptive</t>
        </is>
      </c>
    </row>
    <row r="171" ht="16" customHeight="1" s="33">
      <c r="A171" s="7" t="inlineStr">
        <is>
          <t>TC-E2E-064</t>
        </is>
      </c>
      <c r="B171" s="7" t="inlineStr">
        <is>
          <t>L2</t>
        </is>
      </c>
      <c r="C171" s="8" t="inlineStr">
        <is>
          <t>AIFM displays correct status of GPU/Switch ports/links (speed, AN enable/disable etc)</t>
        </is>
      </c>
      <c r="D171" t="inlineStr">
        <is>
          <t>No</t>
        </is>
      </c>
      <c r="F171" s="18" t="inlineStr">
        <is>
          <t>NA</t>
        </is>
      </c>
      <c r="H171" t="inlineStr">
        <is>
          <t>[Not automated, 15 Oct 2026] Reason: the plan gives no procedure or pass criteria. Needed (from AMD / lab): E2E-064 / SWA-202: which AFM fields hold port speed, FEC, auto-negotiation and duplex? How does an AFM ASIC port id map to a SONiC port name? (details: docs/amd-inputs.html in helios-tests)</t>
        </is>
      </c>
      <c r="I171" s="21" t="inlineStr">
        <is>
          <t>AFM API + switch SSH (est.)</t>
        </is>
      </c>
      <c r="J171" s="21" t="inlineStr">
        <is>
          <t>Switch</t>
        </is>
      </c>
      <c r="K171" s="21" t="inlineStr">
        <is>
          <t>BKC-26.12 plan</t>
        </is>
      </c>
      <c r="L171" t="inlineStr">
        <is>
          <t>Disruptive (est.)</t>
        </is>
      </c>
    </row>
    <row r="172" ht="32" customHeight="1" s="33">
      <c r="A172" s="7" t="inlineStr">
        <is>
          <t>TC-E2E-067</t>
        </is>
      </c>
      <c r="B172" s="7" t="inlineStr">
        <is>
          <t>L3</t>
        </is>
      </c>
      <c r="C172" s="8" t="inlineStr">
        <is>
          <t>Complete POD removal/deletion</t>
        </is>
      </c>
      <c r="D172" t="inlineStr">
        <is>
          <t>No</t>
        </is>
      </c>
      <c r="F172" s="18" t="inlineStr">
        <is>
          <t>NA</t>
        </is>
      </c>
      <c r="H172" t="inlineStr">
        <is>
          <t>[Not automated, 15 Oct 2026] Reason: the plan gives no procedure or pass criteria. Needed (from AMD / lab): E2E-067 / E2E-083 / SBM-203: is deleting the physical pod, or the maximum number of switch deletes, something we may do on the shared full rack? (details: docs/amd-inputs.html in helios-tests)</t>
        </is>
      </c>
      <c r="I172" s="21" t="inlineStr">
        <is>
          <t>AFM API (destructive; procedure unclear) (est.)</t>
        </is>
      </c>
      <c r="J172" s="21" t="inlineStr">
        <is>
          <t>Switch (AFM API)</t>
        </is>
      </c>
      <c r="K172" s="21" t="inlineStr">
        <is>
          <t>BKC-26.12 plan</t>
        </is>
      </c>
      <c r="L172" t="inlineStr">
        <is>
          <t>Disruptive (est.)</t>
        </is>
      </c>
    </row>
    <row r="173" hidden="1" ht="32" customHeight="1" s="33">
      <c r="A173" s="7" t="inlineStr">
        <is>
          <t>TC-E2E-079</t>
        </is>
      </c>
      <c r="B173" s="7" t="inlineStr">
        <is>
          <t>L3</t>
        </is>
      </c>
      <c r="C173" s="8" t="inlineStr">
        <is>
          <t>Moving GPUs from user vpod to another user vpod</t>
        </is>
      </c>
      <c r="D173" t="inlineStr">
        <is>
          <t>Yes</t>
        </is>
      </c>
      <c r="F173" t="inlineStr">
        <is>
          <t>PARTIAL</t>
        </is>
      </c>
      <c r="G173" t="inlineStr">
        <is>
          <t>AFM 0.1.0-AICC-817</t>
        </is>
      </c>
      <c r="H17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73" s="21" t="inlineStr">
        <is>
          <t>AFM API (disruptive)</t>
        </is>
      </c>
      <c r="J173" s="21" t="inlineStr">
        <is>
          <t>Switch (AFM API)</t>
        </is>
      </c>
      <c r="K173" s="21" t="inlineStr">
        <is>
          <t>BKC-26.12 plan</t>
        </is>
      </c>
      <c r="L173" t="inlineStr">
        <is>
          <t>Disruptive</t>
        </is>
      </c>
    </row>
    <row r="174" hidden="1" ht="32" customHeight="1" s="33">
      <c r="A174" s="7" t="inlineStr">
        <is>
          <t>TC-E2E-083</t>
        </is>
      </c>
      <c r="B174" s="7" t="inlineStr">
        <is>
          <t>L3</t>
        </is>
      </c>
      <c r="C174" s="8" t="inlineStr">
        <is>
          <t>vPODs limited to number of switching planes</t>
        </is>
      </c>
      <c r="D174" t="inlineStr">
        <is>
          <t>No</t>
        </is>
      </c>
      <c r="F174" t="inlineStr">
        <is>
          <t>NA</t>
        </is>
      </c>
      <c r="H174" t="inlineStr">
        <is>
          <t>[Not automated, 15 Oct 2026] Reason: the plan gives no procedure or pass criteria. Needed (from AMD / lab): E2E-067 / E2E-083 / SBM-203: is deleting the physical pod, or the maximum number of switch deletes, something we may do on the shared full rack? (details: docs/amd-inputs.html in helios-tests)</t>
        </is>
      </c>
      <c r="I174" s="21" t="inlineStr">
        <is>
          <t>AFM API (destructive; procedure unclear) (est.)</t>
        </is>
      </c>
      <c r="J174" s="21" t="inlineStr">
        <is>
          <t>Switch (AFM API)</t>
        </is>
      </c>
      <c r="K174" s="21" t="inlineStr">
        <is>
          <t>BKC-26.12 plan</t>
        </is>
      </c>
      <c r="L174" t="inlineStr">
        <is>
          <t>Non-disruptive (est.)</t>
        </is>
      </c>
    </row>
    <row r="175" hidden="1" ht="16" customHeight="1" s="33">
      <c r="A175" s="7" t="inlineStr">
        <is>
          <t>TC-E2E-087</t>
        </is>
      </c>
      <c r="B175" s="7" t="inlineStr">
        <is>
          <t>L3</t>
        </is>
      </c>
      <c r="C175" s="8" t="inlineStr">
        <is>
          <t>Setting up Scale up Fabric in a switching plane for a new vPOD</t>
        </is>
      </c>
      <c r="D175" t="inlineStr">
        <is>
          <t>Yes</t>
        </is>
      </c>
      <c r="F175" t="inlineStr">
        <is>
          <t>PARTIAL</t>
        </is>
      </c>
      <c r="G175" t="inlineStr">
        <is>
          <t>AFM 0.1.0-AICC-817</t>
        </is>
      </c>
      <c r="H17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75" s="21" t="inlineStr">
        <is>
          <t>AFM API + switch SSH</t>
        </is>
      </c>
      <c r="J175" s="21" t="inlineStr">
        <is>
          <t>Switch</t>
        </is>
      </c>
      <c r="K175" s="21" t="inlineStr">
        <is>
          <t>BKC-26.12 plan</t>
        </is>
      </c>
      <c r="L175" t="inlineStr">
        <is>
          <t>Disruptive</t>
        </is>
      </c>
    </row>
    <row r="176" hidden="1" ht="16" customHeight="1" s="33">
      <c r="A176" s="7" t="inlineStr">
        <is>
          <t>TC-E2E-092</t>
        </is>
      </c>
      <c r="B176" s="7" t="inlineStr">
        <is>
          <t>L3</t>
        </is>
      </c>
      <c r="C176" s="8" t="inlineStr">
        <is>
          <t>Verfiy event when port goes down on compute side</t>
        </is>
      </c>
      <c r="D176" t="inlineStr">
        <is>
          <t>Yes</t>
        </is>
      </c>
      <c r="I176" s="21" t="inlineStr">
        <is>
          <t>AFM API + compute SSH</t>
        </is>
      </c>
      <c r="J176" s="21" t="inlineStr">
        <is>
          <t>Compute</t>
        </is>
      </c>
      <c r="K176" s="21" t="inlineStr">
        <is>
          <t>BKC-26.12 plan</t>
        </is>
      </c>
      <c r="L176" t="inlineStr">
        <is>
          <t>Disruptive</t>
        </is>
      </c>
    </row>
    <row r="177" hidden="1" ht="32" customHeight="1" s="33">
      <c r="A177" s="7" t="inlineStr">
        <is>
          <t>TC-E2E-093</t>
        </is>
      </c>
      <c r="B177" s="7" t="inlineStr">
        <is>
          <t>L3</t>
        </is>
      </c>
      <c r="C177" s="8" t="inlineStr">
        <is>
          <t>Notification to event, node manager when compute node management connectivity is lost</t>
        </is>
      </c>
      <c r="D177" t="inlineStr">
        <is>
          <t>Yes</t>
        </is>
      </c>
      <c r="I177" s="21" t="inlineStr">
        <is>
          <t>out-of-band mgmt network control + AFM API + switch + compute SSH</t>
        </is>
      </c>
      <c r="J177" s="21" t="inlineStr">
        <is>
          <t>Compute</t>
        </is>
      </c>
      <c r="K177" s="21" t="inlineStr">
        <is>
          <t>BKC-26.12 plan</t>
        </is>
      </c>
      <c r="L177" t="inlineStr">
        <is>
          <t>Disruptive</t>
        </is>
      </c>
    </row>
    <row r="178" hidden="1" ht="32" customHeight="1" s="33">
      <c r="A178" s="7" t="inlineStr">
        <is>
          <t>TC-E2E-099</t>
        </is>
      </c>
      <c r="B178" s="7" t="inlineStr">
        <is>
          <t>L3</t>
        </is>
      </c>
      <c r="C178" s="8" t="inlineStr">
        <is>
          <t>[Link] Link flap - the tray's forwarding table is updated after a port flap</t>
        </is>
      </c>
      <c r="D178" t="inlineStr">
        <is>
          <t>Yes</t>
        </is>
      </c>
      <c r="I178" s="21" t="inlineStr">
        <is>
          <t>AFM API + switch + compute SSH</t>
        </is>
      </c>
      <c r="J178" s="21" t="inlineStr">
        <is>
          <t>Switch + Compute</t>
        </is>
      </c>
      <c r="K178" s="21" t="inlineStr">
        <is>
          <t>BKC-26.12 plan</t>
        </is>
      </c>
      <c r="L178" t="inlineStr">
        <is>
          <t>Disruptive</t>
        </is>
      </c>
    </row>
    <row r="179" hidden="1" ht="16" customHeight="1" s="33">
      <c r="A179" s="7" t="inlineStr">
        <is>
          <t>TC-E2E-105</t>
        </is>
      </c>
      <c r="B179" s="7" t="inlineStr">
        <is>
          <t>L3</t>
        </is>
      </c>
      <c r="C179" s="8" t="inlineStr">
        <is>
          <t>Notifcations to node, switch and event manager when a multiple ports go down on computenode…</t>
        </is>
      </c>
      <c r="D179" t="inlineStr">
        <is>
          <t>Yes</t>
        </is>
      </c>
      <c r="F179" t="inlineStr">
        <is>
          <t>PARTIAL</t>
        </is>
      </c>
      <c r="G179" t="inlineStr">
        <is>
          <t>AFM 0.1.0-AICC-817</t>
        </is>
      </c>
      <c r="H179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79" s="21" t="inlineStr">
        <is>
          <t>AFM API + switch SSH</t>
        </is>
      </c>
      <c r="J179" s="21" t="inlineStr">
        <is>
          <t>Switch</t>
        </is>
      </c>
      <c r="K179" s="21" t="inlineStr">
        <is>
          <t>BKC-26.12 plan</t>
        </is>
      </c>
      <c r="L179" t="inlineStr">
        <is>
          <t>Disruptive</t>
        </is>
      </c>
    </row>
    <row r="180" hidden="1" ht="32" customHeight="1" s="33">
      <c r="A180" s="7" t="inlineStr">
        <is>
          <t>TC-E2E-106</t>
        </is>
      </c>
      <c r="B180" s="7" t="inlineStr">
        <is>
          <t>L3</t>
        </is>
      </c>
      <c r="C180" s="8" t="inlineStr">
        <is>
          <t>vPOD cruds notification is sent to events manager</t>
        </is>
      </c>
      <c r="D180" t="inlineStr">
        <is>
          <t>Yes</t>
        </is>
      </c>
      <c r="F180" t="inlineStr">
        <is>
          <t>PARTIAL</t>
        </is>
      </c>
      <c r="G180" t="inlineStr">
        <is>
          <t>AFM 0.1.0-AICC-817</t>
        </is>
      </c>
      <c r="H180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80" s="21" t="inlineStr">
        <is>
          <t>AFM API (disruptive)</t>
        </is>
      </c>
      <c r="J180" s="21" t="inlineStr">
        <is>
          <t>Switch (AFM API)</t>
        </is>
      </c>
      <c r="K180" s="21" t="inlineStr">
        <is>
          <t>BKC-26.12 plan</t>
        </is>
      </c>
      <c r="L180" t="inlineStr">
        <is>
          <t>Disruptive</t>
        </is>
      </c>
    </row>
    <row r="181" hidden="1" ht="32" customHeight="1" s="33">
      <c r="A181" s="7" t="inlineStr">
        <is>
          <t>TC-E2E-110</t>
        </is>
      </c>
      <c r="B181" s="7" t="inlineStr">
        <is>
          <t>L3</t>
        </is>
      </c>
      <c r="C181" s="8" t="inlineStr">
        <is>
          <t>GPU config phase on different GPUs when vPOD goes to configfailed state</t>
        </is>
      </c>
      <c r="D181" t="inlineStr">
        <is>
          <t>Yes</t>
        </is>
      </c>
      <c r="I181" s="21" t="inlineStr">
        <is>
          <t>AFM API + switch + compute SSH</t>
        </is>
      </c>
      <c r="J181" s="21" t="inlineStr">
        <is>
          <t>Switch + Compute</t>
        </is>
      </c>
      <c r="K181" s="21" t="inlineStr">
        <is>
          <t>BKC-26.12 plan</t>
        </is>
      </c>
      <c r="L181" t="inlineStr">
        <is>
          <t>Disruptive</t>
        </is>
      </c>
    </row>
    <row r="182" ht="16" customHeight="1" s="33">
      <c r="A182" s="7" t="inlineStr">
        <is>
          <t>TC-E2E-114</t>
        </is>
      </c>
      <c r="B182" s="7" t="inlineStr">
        <is>
          <t>L3</t>
        </is>
      </c>
      <c r="C182" s="8" t="inlineStr">
        <is>
          <t>Bring down node manager, validate topo change gets reflected after it comes back up</t>
        </is>
      </c>
      <c r="D182" t="inlineStr">
        <is>
          <t>No</t>
        </is>
      </c>
      <c r="F182" s="18" t="inlineStr">
        <is>
          <t>NA</t>
        </is>
      </c>
      <c r="H182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182" s="21" t="inlineStr">
        <is>
          <t>AFM API + compute SSH (afmctl) (est.)</t>
        </is>
      </c>
      <c r="J182" s="21" t="inlineStr">
        <is>
          <t>Compute</t>
        </is>
      </c>
      <c r="K182" s="21" t="inlineStr">
        <is>
          <t>BKC-26.12 plan</t>
        </is>
      </c>
      <c r="L182" t="inlineStr">
        <is>
          <t>Disruptive (est.)</t>
        </is>
      </c>
    </row>
    <row r="183" ht="16" customHeight="1" s="33">
      <c r="A183" s="7" t="inlineStr">
        <is>
          <t>TC-E2E-115</t>
        </is>
      </c>
      <c r="B183" s="7" t="inlineStr">
        <is>
          <t>L3</t>
        </is>
      </c>
      <c r="C183" s="8" t="inlineStr">
        <is>
          <t>Bring down all the services/agents one by one/parallely and validate topo service in unaffected</t>
        </is>
      </c>
      <c r="D183" t="inlineStr">
        <is>
          <t>No</t>
        </is>
      </c>
      <c r="F183" s="18" t="inlineStr">
        <is>
          <t>NA</t>
        </is>
      </c>
      <c r="H183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183" s="21" t="inlineStr">
        <is>
          <t>AFM API + compute SSH (afmctl) (est.)</t>
        </is>
      </c>
      <c r="J183" s="21" t="inlineStr">
        <is>
          <t>Compute</t>
        </is>
      </c>
      <c r="K183" s="21" t="inlineStr">
        <is>
          <t>BKC-26.12 plan</t>
        </is>
      </c>
      <c r="L183" t="inlineStr">
        <is>
          <t>Disruptive (est.)</t>
        </is>
      </c>
    </row>
    <row r="184" hidden="1" ht="80" customHeight="1" s="33">
      <c r="A184" s="7" t="inlineStr">
        <is>
          <t>TC-E2E-118</t>
        </is>
      </c>
      <c r="B184" s="7" t="inlineStr">
        <is>
          <t>L3</t>
        </is>
      </c>
      <c r="C184" s="8" t="inlineStr">
        <is>
          <t>Topo logs in /var/log/pensando</t>
        </is>
      </c>
      <c r="D184" t="inlineStr">
        <is>
          <t>Yes</t>
        </is>
      </c>
      <c r="F184" t="inlineStr">
        <is>
          <t>FAIL</t>
        </is>
      </c>
      <c r="G184" t="inlineStr">
        <is>
          <t>SONiC.202505I20260915070938_x100.15; afm-agent/controller 202505I20260915070938_x100.15</t>
        </is>
      </c>
      <c r="H184" s="21" t="inlineStr">
        <is>
          <t>[g02-g17 full rack, non-disruptive switch + AFM API, 14 Oct 2026] st1: no *topo* files under /opt/amd/afm/controller/logs, /var/log/pensando; st3: no *topo* files under /opt/amd/afm/controller/logs, /var/log/pensando; st4: newest topo log /opt/amd/afm/controller/logs/pen-afm-core-pod-1/toposvc.log is 96.1h old (helios-tests fullrack-switch-nd-filtered, g02-g17-20261014-092828, g02-g17-20261014-170350, g02-g17-20261014-170910)</t>
        </is>
      </c>
      <c r="I184" s="21" t="inlineStr">
        <is>
          <t>Switch SSH</t>
        </is>
      </c>
      <c r="J184" s="21" t="inlineStr">
        <is>
          <t>Switch</t>
        </is>
      </c>
      <c r="K184" s="21" t="inlineStr">
        <is>
          <t>BKC-26.12 plan</t>
        </is>
      </c>
      <c r="L184" t="inlineStr">
        <is>
          <t>Non-disruptive</t>
        </is>
      </c>
    </row>
    <row r="185" hidden="1" ht="16" customHeight="1" s="33">
      <c r="A185" s="7" t="inlineStr">
        <is>
          <t>TC-E2E-122</t>
        </is>
      </c>
      <c r="B185" s="7" t="inlineStr">
        <is>
          <t>L3</t>
        </is>
      </c>
      <c r="C185" s="8" t="inlineStr">
        <is>
          <t>FO-003: Both Ports Down — Same IFoE Station [P0]</t>
        </is>
      </c>
      <c r="D185" t="inlineStr">
        <is>
          <t>Yes</t>
        </is>
      </c>
      <c r="F185" t="inlineStr">
        <is>
          <t>PARTIAL</t>
        </is>
      </c>
      <c r="G185" t="inlineStr">
        <is>
          <t>AFM 0.1.0-AICC-817</t>
        </is>
      </c>
      <c r="H18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85" s="21" t="inlineStr">
        <is>
          <t>AFM API + switch SSH</t>
        </is>
      </c>
      <c r="J185" s="21" t="inlineStr">
        <is>
          <t>Switch</t>
        </is>
      </c>
      <c r="K185" s="21" t="inlineStr">
        <is>
          <t>BKC-26.12 plan</t>
        </is>
      </c>
      <c r="L185" t="inlineStr">
        <is>
          <t>Disruptive</t>
        </is>
      </c>
    </row>
    <row r="186" hidden="1" ht="16" customHeight="1" s="33">
      <c r="A186" s="7" t="inlineStr">
        <is>
          <t>TC-E2E-130</t>
        </is>
      </c>
      <c r="B186" s="7" t="inlineStr">
        <is>
          <t>L3</t>
        </is>
      </c>
      <c r="C186" s="8" t="inlineStr">
        <is>
          <t>[Link] Link down on several stations at once (one port each) - partial station failures handled [FO-013, P2]</t>
        </is>
      </c>
      <c r="D186" t="inlineStr">
        <is>
          <t>Yes</t>
        </is>
      </c>
      <c r="F186" t="inlineStr">
        <is>
          <t>PARTIAL</t>
        </is>
      </c>
      <c r="G186" t="inlineStr">
        <is>
          <t>AFM 0.1.0-AICC-817</t>
        </is>
      </c>
      <c r="H186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86" s="21" t="inlineStr">
        <is>
          <t>AFM API + switch SSH</t>
        </is>
      </c>
      <c r="J186" s="21" t="inlineStr">
        <is>
          <t>Switch</t>
        </is>
      </c>
      <c r="K186" s="21" t="inlineStr">
        <is>
          <t>BKC-26.12 plan</t>
        </is>
      </c>
      <c r="L186" t="inlineStr">
        <is>
          <t>Disruptive</t>
        </is>
      </c>
    </row>
    <row r="187" hidden="1" ht="16" customHeight="1" s="33">
      <c r="A187" s="7" t="inlineStr">
        <is>
          <t>TC-E2E-131</t>
        </is>
      </c>
      <c r="B187" s="7" t="inlineStr">
        <is>
          <t>L3</t>
        </is>
      </c>
      <c r="C187" s="8" t="inlineStr">
        <is>
          <t>FO-014: Mixed — One Full Station Down + One Partial Station Down [P2]</t>
        </is>
      </c>
      <c r="D187" t="inlineStr">
        <is>
          <t>Yes</t>
        </is>
      </c>
      <c r="F187" t="inlineStr">
        <is>
          <t>PARTIAL</t>
        </is>
      </c>
      <c r="G187" t="inlineStr">
        <is>
          <t>AFM 0.1.0-AICC-817</t>
        </is>
      </c>
      <c r="H187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87" s="21" t="inlineStr">
        <is>
          <t>AFM API + switch SSH</t>
        </is>
      </c>
      <c r="J187" s="21" t="inlineStr">
        <is>
          <t>Switch</t>
        </is>
      </c>
      <c r="K187" s="21" t="inlineStr">
        <is>
          <t>BKC-26.12 plan</t>
        </is>
      </c>
      <c r="L187" t="inlineStr">
        <is>
          <t>Disruptive</t>
        </is>
      </c>
    </row>
    <row r="188" hidden="1" ht="16" customHeight="1" s="33">
      <c r="A188" s="7" t="inlineStr">
        <is>
          <t>TC-E2E-132</t>
        </is>
      </c>
      <c r="B188" s="7" t="inlineStr">
        <is>
          <t>L3</t>
        </is>
      </c>
      <c r="C188" s="8" t="inlineStr">
        <is>
          <t>[Link] Link flap shorter than the link-fail threshold - no port failure, no reconfiguration [FO-021, P2]</t>
        </is>
      </c>
      <c r="D188" t="inlineStr">
        <is>
          <t>Yes</t>
        </is>
      </c>
      <c r="F188" t="inlineStr">
        <is>
          <t>FAIL</t>
        </is>
      </c>
      <c r="G188" t="inlineStr">
        <is>
          <t>AFM 0.1.0-AICC-817</t>
        </is>
      </c>
      <c r="H188" s="21" t="inlineStr">
        <is>
          <t>[g02-g17 disruptive switch/AFM, 17-18 Oct 2026] by node: - 2, pod-1-17-ComputeTray 1; PortFailed [('pod-1-17-ComputeTray', 0, 0)] while down for less than the 30s threshold; link_failed raised for a short flap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88" s="21" t="inlineStr">
        <is>
          <t>AFM API + switch SSH</t>
        </is>
      </c>
      <c r="J188" s="21" t="inlineStr">
        <is>
          <t>Switch</t>
        </is>
      </c>
      <c r="K188" s="21" t="inlineStr">
        <is>
          <t>BKC-26.12 plan</t>
        </is>
      </c>
      <c r="L188" t="inlineStr">
        <is>
          <t>Disruptive</t>
        </is>
      </c>
    </row>
    <row r="189" hidden="1" ht="16" customHeight="1" s="33">
      <c r="A189" s="7" t="inlineStr">
        <is>
          <t>TC-E2E-133</t>
        </is>
      </c>
      <c r="B189" s="7" t="inlineStr">
        <is>
          <t>L3</t>
        </is>
      </c>
      <c r="C189" s="8" t="inlineStr">
        <is>
          <t>FO-022: Change Failover Mode While Port Is Down [P2]</t>
        </is>
      </c>
      <c r="D189" t="inlineStr">
        <is>
          <t>Yes</t>
        </is>
      </c>
      <c r="F189" t="inlineStr">
        <is>
          <t>PARTIAL</t>
        </is>
      </c>
      <c r="G189" t="inlineStr">
        <is>
          <t>AFM 0.1.0-AICC-817</t>
        </is>
      </c>
      <c r="H189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89" s="21" t="inlineStr">
        <is>
          <t>AFM API + switch SSH</t>
        </is>
      </c>
      <c r="J189" s="21" t="inlineStr">
        <is>
          <t>Switch</t>
        </is>
      </c>
      <c r="K189" s="21" t="inlineStr">
        <is>
          <t>BKC-26.12 plan</t>
        </is>
      </c>
      <c r="L189" t="inlineStr">
        <is>
          <t>Disruptive</t>
        </is>
      </c>
    </row>
    <row r="190" hidden="1" ht="16" customHeight="1" s="33">
      <c r="A190" s="7" t="inlineStr">
        <is>
          <t>TC-E2E-134</t>
        </is>
      </c>
      <c r="B190" s="7" t="inlineStr">
        <is>
          <t>L3</t>
        </is>
      </c>
      <c r="C190" s="8" t="inlineStr">
        <is>
          <t>FO-023: Remove Failover Policy While vPod Is Degraded [P2]</t>
        </is>
      </c>
      <c r="D190" t="inlineStr">
        <is>
          <t>Yes</t>
        </is>
      </c>
      <c r="F190" t="inlineStr">
        <is>
          <t>PARTIAL</t>
        </is>
      </c>
      <c r="G190" t="inlineStr">
        <is>
          <t>AFM 0.1.0-AICC-817</t>
        </is>
      </c>
      <c r="H190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90" s="21" t="inlineStr">
        <is>
          <t>AFM API + switch SSH</t>
        </is>
      </c>
      <c r="J190" s="21" t="inlineStr">
        <is>
          <t>Switch</t>
        </is>
      </c>
      <c r="K190" s="21" t="inlineStr">
        <is>
          <t>BKC-26.12 plan</t>
        </is>
      </c>
      <c r="L190" t="inlineStr">
        <is>
          <t>Disruptive</t>
        </is>
      </c>
    </row>
    <row r="191" hidden="1" ht="16" customHeight="1" s="33">
      <c r="A191" s="7" t="inlineStr">
        <is>
          <t>TC-E2E-135</t>
        </is>
      </c>
      <c r="B191" s="7" t="inlineStr">
        <is>
          <t>L3</t>
        </is>
      </c>
      <c r="C191" s="8" t="inlineStr">
        <is>
          <t>FO-024: Second Port Fails During Automatic reconfigure [P1]</t>
        </is>
      </c>
      <c r="D191" t="inlineStr">
        <is>
          <t>Yes</t>
        </is>
      </c>
      <c r="F191" t="inlineStr">
        <is>
          <t>PARTIAL</t>
        </is>
      </c>
      <c r="G191" t="inlineStr">
        <is>
          <t>AFM 0.1.0-AICC-817</t>
        </is>
      </c>
      <c r="H191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91" s="21" t="inlineStr">
        <is>
          <t>AFM API + switch SSH</t>
        </is>
      </c>
      <c r="J191" s="21" t="inlineStr">
        <is>
          <t>Switch</t>
        </is>
      </c>
      <c r="K191" s="21" t="inlineStr">
        <is>
          <t>BKC-26.12 plan</t>
        </is>
      </c>
      <c r="L191" t="inlineStr">
        <is>
          <t>Disruptive</t>
        </is>
      </c>
    </row>
    <row r="192" hidden="1" ht="16" customHeight="1" s="33">
      <c r="A192" s="7" t="inlineStr">
        <is>
          <t>TC-E2E-137</t>
        </is>
      </c>
      <c r="B192" s="7" t="inlineStr">
        <is>
          <t>L3</t>
        </is>
      </c>
      <c r="C192" s="8" t="inlineStr">
        <is>
          <t>[Link] Link down on several compute trays at once - every port detected and recovered [FO-026, P1]</t>
        </is>
      </c>
      <c r="D192" t="inlineStr">
        <is>
          <t>Yes</t>
        </is>
      </c>
      <c r="F192" t="inlineStr">
        <is>
          <t>PARTIAL</t>
        </is>
      </c>
      <c r="G192" t="inlineStr">
        <is>
          <t>AFM 0.1.0-AICC-817</t>
        </is>
      </c>
      <c r="H192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92" s="21" t="inlineStr">
        <is>
          <t>AFM API + switch SSH</t>
        </is>
      </c>
      <c r="J192" s="21" t="inlineStr">
        <is>
          <t>Switch</t>
        </is>
      </c>
      <c r="K192" s="21" t="inlineStr">
        <is>
          <t>BKC-26.12 plan</t>
        </is>
      </c>
      <c r="L192" t="inlineStr">
        <is>
          <t>Disruptive</t>
        </is>
      </c>
    </row>
    <row r="193" hidden="1" ht="16" customHeight="1" s="33">
      <c r="A193" s="7" t="inlineStr">
        <is>
          <t>TC-E2E-141</t>
        </is>
      </c>
      <c r="B193" s="7" t="inlineStr">
        <is>
          <t>L3</t>
        </is>
      </c>
      <c r="C193" s="8" t="inlineStr">
        <is>
          <t>FO-033: Sequential Port Failures — Incremental Degradation and Recovery [P1]</t>
        </is>
      </c>
      <c r="D193" t="inlineStr">
        <is>
          <t>Yes</t>
        </is>
      </c>
      <c r="F193" t="inlineStr">
        <is>
          <t>PARTIAL</t>
        </is>
      </c>
      <c r="G193" t="inlineStr">
        <is>
          <t>AFM 0.1.0-AICC-817</t>
        </is>
      </c>
      <c r="H19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93" s="21" t="inlineStr">
        <is>
          <t>AFM API + switch SSH</t>
        </is>
      </c>
      <c r="J193" s="21" t="inlineStr">
        <is>
          <t>Switch</t>
        </is>
      </c>
      <c r="K193" s="21" t="inlineStr">
        <is>
          <t>BKC-26.12 plan</t>
        </is>
      </c>
      <c r="L193" t="inlineStr">
        <is>
          <t>Disruptive</t>
        </is>
      </c>
    </row>
    <row r="194" hidden="1" ht="16" customHeight="1" s="33">
      <c r="A194" s="7" t="inlineStr">
        <is>
          <t>TC-E2E-144</t>
        </is>
      </c>
      <c r="B194" s="7" t="inlineStr">
        <is>
          <t>L3</t>
        </is>
      </c>
      <c r="C194" s="8" t="inlineStr">
        <is>
          <t>[Link] Link down on every station of one GPU in quick succession - all ports failed, GPU recovers [FO-037, P3]</t>
        </is>
      </c>
      <c r="D194" t="inlineStr">
        <is>
          <t>Yes</t>
        </is>
      </c>
      <c r="F194" t="inlineStr">
        <is>
          <t>FAIL</t>
        </is>
      </c>
      <c r="G194" t="inlineStr">
        <is>
          <t>AFM 0.1.0-AICC-817</t>
        </is>
      </c>
      <c r="H194" s="21" t="inlineStr">
        <is>
          <t>[g02-g17 disruptive switch/AFM, 17-18 Oct 2026] not all 36 GPU ports PortFailed: missing [('pod-1-17-ComputeTray', 0, 22), ('pod-1-17-ComputeTray', 0, 23), ('pod-1-17-ComputeTray', 0, 24), ('pod-1-17-ComputeTray', 0, 25), ('pod-1-17-ComputeTray', 0, 26), ('pod-1-17-ComputeTray', 0, 27)] (cabled to ['st6/asic0/Ethernet185', 'st5/asic0/Ethernet185', 'st4/asic0/Ethernet187', 'st3/asic0/Ethernet186', 'st4/asic0/Ethernet185', 'st3/asic0/Ethernet187'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94" s="21" t="inlineStr">
        <is>
          <t>AFM API + switch SSH</t>
        </is>
      </c>
      <c r="J194" s="21" t="inlineStr">
        <is>
          <t>Switch</t>
        </is>
      </c>
      <c r="K194" s="21" t="inlineStr">
        <is>
          <t>BKC-26.12 plan</t>
        </is>
      </c>
      <c r="L194" t="inlineStr">
        <is>
          <t>Disruptive</t>
        </is>
      </c>
    </row>
    <row r="195" hidden="1" ht="16" customHeight="1" s="33">
      <c r="A195" s="7" t="inlineStr">
        <is>
          <t>TC-E2E-145</t>
        </is>
      </c>
      <c r="B195" s="7" t="inlineStr">
        <is>
          <t>L3</t>
        </is>
      </c>
      <c r="C195" s="8" t="inlineStr">
        <is>
          <t>FO-038: Automatic Mode — End-to-End Golden Path (No User Intervention) [P0]</t>
        </is>
      </c>
      <c r="D195" t="inlineStr">
        <is>
          <t>Yes</t>
        </is>
      </c>
      <c r="F195" t="inlineStr">
        <is>
          <t>PARTIAL</t>
        </is>
      </c>
      <c r="G195" t="inlineStr">
        <is>
          <t>AFM 0.1.0-AICC-817</t>
        </is>
      </c>
      <c r="H19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95" s="21" t="inlineStr">
        <is>
          <t>AFM API + switch SSH</t>
        </is>
      </c>
      <c r="J195" s="21" t="inlineStr">
        <is>
          <t>Switch</t>
        </is>
      </c>
      <c r="K195" s="21" t="inlineStr">
        <is>
          <t>BKC-26.12 plan</t>
        </is>
      </c>
      <c r="L195" t="inlineStr">
        <is>
          <t>Disruptive</t>
        </is>
      </c>
    </row>
    <row r="196" hidden="1" ht="16" customHeight="1" s="33">
      <c r="A196" s="7" t="inlineStr">
        <is>
          <t>TC-E2E-146</t>
        </is>
      </c>
      <c r="B196" s="7" t="inlineStr">
        <is>
          <t>L3</t>
        </is>
      </c>
      <c r="C196" s="8" t="inlineStr">
        <is>
          <t>FO-039: Manual Mode — Verify reconfigure Does NOT Happen Without User Action [P0]</t>
        </is>
      </c>
      <c r="D196" t="inlineStr">
        <is>
          <t>Yes</t>
        </is>
      </c>
      <c r="F196" t="inlineStr">
        <is>
          <t>PARTIAL</t>
        </is>
      </c>
      <c r="G196" t="inlineStr">
        <is>
          <t>AFM 0.1.0-AICC-817</t>
        </is>
      </c>
      <c r="H196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96" s="21" t="inlineStr">
        <is>
          <t>AFM API + switch SSH</t>
        </is>
      </c>
      <c r="J196" s="21" t="inlineStr">
        <is>
          <t>Switch</t>
        </is>
      </c>
      <c r="K196" s="21" t="inlineStr">
        <is>
          <t>BKC-26.12 plan</t>
        </is>
      </c>
      <c r="L196" t="inlineStr">
        <is>
          <t>Disruptive</t>
        </is>
      </c>
    </row>
    <row r="197" hidden="1" ht="16" customHeight="1" s="33">
      <c r="A197" s="7" t="inlineStr">
        <is>
          <t>TC-BUG-001</t>
        </is>
      </c>
      <c r="B197" s="7" t="inlineStr">
        <is>
          <t>L3</t>
        </is>
      </c>
      <c r="C197" s="8" t="inlineStr">
        <is>
          <t>Controller stability when decommissioned node rejoins cluster</t>
        </is>
      </c>
      <c r="D197" t="inlineStr">
        <is>
          <t>Yes</t>
        </is>
      </c>
      <c r="F197" t="inlineStr">
        <is>
          <t>PARTIAL</t>
        </is>
      </c>
      <c r="G197" t="inlineStr">
        <is>
          <t>AFM 0.1.0-AICC-817</t>
        </is>
      </c>
      <c r="H197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97" s="21" t="inlineStr">
        <is>
          <t>AFM API + switch SSH</t>
        </is>
      </c>
      <c r="J197" s="21" t="inlineStr">
        <is>
          <t>Switch</t>
        </is>
      </c>
      <c r="K197" s="21" t="inlineStr">
        <is>
          <t>BKC-26.12 plan</t>
        </is>
      </c>
      <c r="L197" t="inlineStr">
        <is>
          <t>Disruptive</t>
        </is>
      </c>
    </row>
    <row r="198" hidden="1" ht="32" customHeight="1" s="33">
      <c r="A198" s="7" t="inlineStr">
        <is>
          <t>TC-BUG-003</t>
        </is>
      </c>
      <c r="B198" s="7" t="inlineStr">
        <is>
          <t>L3</t>
        </is>
      </c>
      <c r="C198" s="8" t="inlineStr">
        <is>
          <t>[Link] Management-interface flap (switch) - the AFM controller stays stable</t>
        </is>
      </c>
      <c r="D198" t="inlineStr">
        <is>
          <t>Yes</t>
        </is>
      </c>
      <c r="I198" s="21" t="inlineStr">
        <is>
          <t>out-of-band mgmt network control + AFM API + switch SSH</t>
        </is>
      </c>
      <c r="J198" s="21" t="inlineStr">
        <is>
          <t>Switch</t>
        </is>
      </c>
      <c r="K198" s="21" t="inlineStr">
        <is>
          <t>BKC-26.12 plan</t>
        </is>
      </c>
      <c r="L198" t="inlineStr">
        <is>
          <t>Disruptive</t>
        </is>
      </c>
    </row>
    <row r="199" hidden="1" ht="16" customHeight="1" s="33">
      <c r="A199" s="7" t="inlineStr">
        <is>
          <t>TC-BUG-004</t>
        </is>
      </c>
      <c r="B199" s="7" t="inlineStr">
        <is>
          <t>L3</t>
        </is>
      </c>
      <c r="C199" s="8" t="inlineStr">
        <is>
          <t>Controller stability when switch agent is stuck unhealthy and restarted</t>
        </is>
      </c>
      <c r="D199" t="inlineStr">
        <is>
          <t>Yes</t>
        </is>
      </c>
      <c r="F199" t="inlineStr">
        <is>
          <t>PARTIAL</t>
        </is>
      </c>
      <c r="G199" t="inlineStr">
        <is>
          <t>AFM 0.1.0-AICC-817</t>
        </is>
      </c>
      <c r="H199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199" s="21" t="inlineStr">
        <is>
          <t>AFM API + switch SSH</t>
        </is>
      </c>
      <c r="J199" s="21" t="inlineStr">
        <is>
          <t>Switch</t>
        </is>
      </c>
      <c r="K199" s="21" t="inlineStr">
        <is>
          <t>BKC-26.12 plan</t>
        </is>
      </c>
      <c r="L199" t="inlineStr">
        <is>
          <t>Disruptive</t>
        </is>
      </c>
    </row>
    <row r="200" hidden="1" ht="16" customHeight="1" s="33">
      <c r="A200" s="7" t="inlineStr">
        <is>
          <t>TC-BUG-006</t>
        </is>
      </c>
      <c r="B200" s="7" t="inlineStr">
        <is>
          <t>L3</t>
        </is>
      </c>
      <c r="C200" s="8" t="inlineStr">
        <is>
          <t>Fboss switch oper-state reflects FSDB initialization status</t>
        </is>
      </c>
      <c r="D200" t="inlineStr">
        <is>
          <t>No</t>
        </is>
      </c>
      <c r="F200" t="inlineStr">
        <is>
          <t>NA</t>
        </is>
      </c>
      <c r="H200" t="inlineStr">
        <is>
          <t>[Not automated, 15 Oct 2026] Reason: needs lab equipment / setup (An Fboss switch). Needed (from AMD / lab): Only one case; is Fboss still in scope for Helios? (details: docs/amd-inputs.html in helios-tests)</t>
        </is>
      </c>
      <c r="I200" s="21" t="inlineStr">
        <is>
          <t>Fboss switch (est.)</t>
        </is>
      </c>
      <c r="J200" s="21" t="inlineStr">
        <is>
          <t>Switch</t>
        </is>
      </c>
      <c r="K200" s="21" t="inlineStr">
        <is>
          <t>BKC-26.12 plan</t>
        </is>
      </c>
      <c r="L200" t="inlineStr">
        <is>
          <t>Non-disruptive (est.)</t>
        </is>
      </c>
    </row>
    <row r="201" hidden="1" ht="16" customHeight="1" s="33">
      <c r="A201" s="7" t="inlineStr">
        <is>
          <t>TC-BUG-007</t>
        </is>
      </c>
      <c r="B201" s="7" t="inlineStr">
        <is>
          <t>L3</t>
        </is>
      </c>
      <c r="C201" s="8" t="inlineStr">
        <is>
          <t>Switch oper-state does not get stuck in 'unknown' after state transitions</t>
        </is>
      </c>
      <c r="D201" t="inlineStr">
        <is>
          <t>Yes</t>
        </is>
      </c>
      <c r="F201" t="inlineStr">
        <is>
          <t>PARTIAL</t>
        </is>
      </c>
      <c r="G201" t="inlineStr">
        <is>
          <t>AFM 0.1.0-AICC-817</t>
        </is>
      </c>
      <c r="H201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01" s="21" t="inlineStr">
        <is>
          <t>AFM API + switch SSH</t>
        </is>
      </c>
      <c r="J201" s="21" t="inlineStr">
        <is>
          <t>Switch</t>
        </is>
      </c>
      <c r="K201" s="21" t="inlineStr">
        <is>
          <t>BKC-26.12 plan</t>
        </is>
      </c>
      <c r="L201" t="inlineStr">
        <is>
          <t>Disruptive</t>
        </is>
      </c>
    </row>
    <row r="202" hidden="1" ht="16" customHeight="1" s="33">
      <c r="A202" s="7" t="inlineStr">
        <is>
          <t>TC-BUG-009</t>
        </is>
      </c>
      <c r="B202" s="7" t="inlineStr">
        <is>
          <t>L3</t>
        </is>
      </c>
      <c r="C202" s="8" t="inlineStr">
        <is>
          <t>GPU-info is not duplicated across vPODs after node-agent restart</t>
        </is>
      </c>
      <c r="D202" t="inlineStr">
        <is>
          <t>Yes</t>
        </is>
      </c>
      <c r="F202" t="inlineStr">
        <is>
          <t>PARTIAL</t>
        </is>
      </c>
      <c r="G202" t="inlineStr">
        <is>
          <t>AFM 0.1.0-AICC-817</t>
        </is>
      </c>
      <c r="H202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02" s="21" t="inlineStr">
        <is>
          <t>AFM API + switch SSH</t>
        </is>
      </c>
      <c r="J202" s="21" t="inlineStr">
        <is>
          <t>Switch</t>
        </is>
      </c>
      <c r="K202" s="21" t="inlineStr">
        <is>
          <t>BKC-26.12 plan</t>
        </is>
      </c>
      <c r="L202" t="inlineStr">
        <is>
          <t>Disruptive</t>
        </is>
      </c>
    </row>
    <row r="203" hidden="1" ht="16" customHeight="1" s="33">
      <c r="A203" s="7" t="inlineStr">
        <is>
          <t>TC-BUG-011</t>
        </is>
      </c>
      <c r="B203" s="7" t="inlineStr">
        <is>
          <t>L3</t>
        </is>
      </c>
      <c r="C203" s="8" t="inlineStr">
        <is>
          <t>Lanebitmask is set correctly on node readmission</t>
        </is>
      </c>
      <c r="D203" t="inlineStr">
        <is>
          <t>No</t>
        </is>
      </c>
      <c r="F203" t="inlineStr">
        <is>
          <t>NA</t>
        </is>
      </c>
      <c r="H203" t="inlineStr">
        <is>
          <t>[Not automated, 15 Oct 2026] Reason: the plan gives no procedure or pass criteria. Needed (from AMD / lab): BUG-011: where the lane bitmask is read on the compute tray (the 12 Oct runbook used a station_lane_en_bitmap sysfs value). (details: docs/amd-inputs.html in helios-tests)</t>
        </is>
      </c>
      <c r="I203" s="21" t="inlineStr">
        <is>
          <t>AFM API + compute SSH (afmctl) (est.)</t>
        </is>
      </c>
      <c r="J203" s="21" t="inlineStr">
        <is>
          <t>Compute</t>
        </is>
      </c>
      <c r="K203" s="21" t="inlineStr">
        <is>
          <t>BKC-26.12 plan</t>
        </is>
      </c>
      <c r="L203" t="inlineStr">
        <is>
          <t>Non-disruptive (est.)</t>
        </is>
      </c>
    </row>
    <row r="204" hidden="1" ht="16" customHeight="1" s="33">
      <c r="A204" s="7" t="inlineStr">
        <is>
          <t>TC-BUG-012</t>
        </is>
      </c>
      <c r="B204" s="7" t="inlineStr">
        <is>
          <t>L3</t>
        </is>
      </c>
      <c r="C204" s="8" t="inlineStr">
        <is>
          <t>GPU ready state ordering during bringup</t>
        </is>
      </c>
      <c r="D204" t="inlineStr">
        <is>
          <t>No</t>
        </is>
      </c>
      <c r="F204" t="inlineStr">
        <is>
          <t>NA</t>
        </is>
      </c>
      <c r="H204" t="inlineStr">
        <is>
          <t>[Not automated, 15 Oct 2026] Reason: needs a GPU fault that cannot be injected. Needed (from AMD / lab): A supported way to inject each fault (debug knob, test build, sysfs override), and how to clear it afterwards. (details: docs/amd-inputs.html in helios-tests)</t>
        </is>
      </c>
      <c r="I204" s="21" t="inlineStr">
        <is>
          <t>AFM API + compute SSH (afmctl) (est.)</t>
        </is>
      </c>
      <c r="J204" s="21" t="inlineStr">
        <is>
          <t>Compute</t>
        </is>
      </c>
      <c r="K204" s="21" t="inlineStr">
        <is>
          <t>BKC-26.12 plan</t>
        </is>
      </c>
      <c r="L204" t="inlineStr">
        <is>
          <t>Non-disruptive (est.)</t>
        </is>
      </c>
    </row>
    <row r="205" hidden="1" ht="16" customHeight="1" s="33">
      <c r="A205" s="7" t="inlineStr">
        <is>
          <t>TC-BUG-013</t>
        </is>
      </c>
      <c r="B205" s="7" t="inlineStr">
        <is>
          <t>L3</t>
        </is>
      </c>
      <c r="C205" s="8" t="inlineStr">
        <is>
          <t>GPU programming errors are reported to controller</t>
        </is>
      </c>
      <c r="D205" t="inlineStr">
        <is>
          <t>No</t>
        </is>
      </c>
      <c r="F205" t="inlineStr">
        <is>
          <t>NA</t>
        </is>
      </c>
      <c r="H205" t="inlineStr">
        <is>
          <t>[Not automated, 15 Oct 2026] Reason: needs a GPU fault that cannot be injected. Needed (from AMD / lab): A supported way to inject each fault (debug knob, test build, sysfs override), and how to clear it afterwards. (details: docs/amd-inputs.html in helios-tests)</t>
        </is>
      </c>
      <c r="I205" s="21" t="inlineStr">
        <is>
          <t>AFM API + compute SSH (afmctl) (est.)</t>
        </is>
      </c>
      <c r="J205" s="21" t="inlineStr">
        <is>
          <t>Compute</t>
        </is>
      </c>
      <c r="K205" s="21" t="inlineStr">
        <is>
          <t>BKC-26.12 plan</t>
        </is>
      </c>
      <c r="L205" t="inlineStr">
        <is>
          <t>Non-disruptive (est.)</t>
        </is>
      </c>
    </row>
    <row r="206" hidden="1" ht="32" customHeight="1" s="33">
      <c r="A206" s="7" t="inlineStr">
        <is>
          <t>TC-BUG-014</t>
        </is>
      </c>
      <c r="B206" s="7" t="inlineStr">
        <is>
          <t>L3</t>
        </is>
      </c>
      <c r="C206" s="8" t="inlineStr">
        <is>
          <t>Accelerator ID correctness when GPU moves between vPODs</t>
        </is>
      </c>
      <c r="D206" t="inlineStr">
        <is>
          <t>Yes</t>
        </is>
      </c>
      <c r="F206" t="inlineStr">
        <is>
          <t>PARTIAL</t>
        </is>
      </c>
      <c r="G206" t="inlineStr">
        <is>
          <t>AFM 0.1.0-AICC-817</t>
        </is>
      </c>
      <c r="H206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06" s="21" t="inlineStr">
        <is>
          <t>AFM API (disruptive)</t>
        </is>
      </c>
      <c r="J206" s="21" t="inlineStr">
        <is>
          <t>Switch (AFM API)</t>
        </is>
      </c>
      <c r="K206" s="21" t="inlineStr">
        <is>
          <t>BKC-26.12 plan</t>
        </is>
      </c>
      <c r="L206" t="inlineStr">
        <is>
          <t>Disruptive</t>
        </is>
      </c>
    </row>
    <row r="207" hidden="1" ht="16" customHeight="1" s="33">
      <c r="A207" s="7" t="inlineStr">
        <is>
          <t>TC-BUG-015</t>
        </is>
      </c>
      <c r="B207" s="7" t="inlineStr">
        <is>
          <t>L3</t>
        </is>
      </c>
      <c r="C207" s="8" t="inlineStr">
        <is>
          <t>Nodeagent handles graceful exit on incompatible libraries</t>
        </is>
      </c>
      <c r="D207" t="inlineStr">
        <is>
          <t>No</t>
        </is>
      </c>
      <c r="F207" t="inlineStr">
        <is>
          <t>NA</t>
        </is>
      </c>
      <c r="H207" t="inlineStr">
        <is>
          <t>[Not automated, 15 Oct 2026] Reason: needs a GPU fault that cannot be injected. Needed (from AMD / lab): A supported way to inject each fault (debug knob, test build, sysfs override), and how to clear it afterwards. (details: docs/amd-inputs.html in helios-tests)</t>
        </is>
      </c>
      <c r="I207" s="21" t="inlineStr">
        <is>
          <t>AFM API + compute SSH (afmctl) (est.)</t>
        </is>
      </c>
      <c r="J207" s="21" t="inlineStr">
        <is>
          <t>Compute</t>
        </is>
      </c>
      <c r="K207" s="21" t="inlineStr">
        <is>
          <t>BKC-26.12 plan</t>
        </is>
      </c>
      <c r="L207" t="inlineStr">
        <is>
          <t>Non-disruptive (est.)</t>
        </is>
      </c>
    </row>
    <row r="208" hidden="1" ht="16" customHeight="1" s="33">
      <c r="A208" s="7" t="inlineStr">
        <is>
          <t>TC-BUG-016</t>
        </is>
      </c>
      <c r="B208" s="7" t="inlineStr">
        <is>
          <t>L3</t>
        </is>
      </c>
      <c r="C208" s="8" t="inlineStr">
        <is>
          <t>[Link] Control-path flap (switch agent &lt;-&gt; controller) - the switch ports recover afterwards</t>
        </is>
      </c>
      <c r="D208" t="inlineStr">
        <is>
          <t>Yes</t>
        </is>
      </c>
      <c r="F208" t="inlineStr">
        <is>
          <t>PARTIAL</t>
        </is>
      </c>
      <c r="G208" t="inlineStr">
        <is>
          <t>AFM 0.1.0-AICC-817</t>
        </is>
      </c>
      <c r="H208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08" s="21" t="inlineStr">
        <is>
          <t>AFM API + switch SSH</t>
        </is>
      </c>
      <c r="J208" s="21" t="inlineStr">
        <is>
          <t>Switch</t>
        </is>
      </c>
      <c r="K208" s="21" t="inlineStr">
        <is>
          <t>BKC-26.12 plan</t>
        </is>
      </c>
      <c r="L208" t="inlineStr">
        <is>
          <t>Disruptive</t>
        </is>
      </c>
    </row>
    <row r="209" hidden="1" ht="16" customHeight="1" s="33">
      <c r="A209" s="7" t="inlineStr">
        <is>
          <t>TC-BUG-018</t>
        </is>
      </c>
      <c r="B209" s="7" t="inlineStr">
        <is>
          <t>L3</t>
        </is>
      </c>
      <c r="C209" s="8" t="inlineStr">
        <is>
          <t>Port oper-status correctly reflects actual link state</t>
        </is>
      </c>
      <c r="D209" t="inlineStr">
        <is>
          <t>Yes</t>
        </is>
      </c>
      <c r="H209" t="inlineStr">
        <is>
          <t>[Automated, 19 Oct 2026] tests/afm/test_afm_observability.py (read-only; passes on the fake racks, not yet run on a rack)
Earlier: [Not automated, 15 Oct 2026] Reason: the plan gives no procedure or pass criteria. Needed (from AMD / lab): BUG-018: the same port-id mapping (the full-rack scripts assumed Ethernet{asic*256+port+1} ; is that right?). (details: docs/amd-inputs.html in helios-tests)</t>
        </is>
      </c>
      <c r="I209" s="21" t="inlineStr">
        <is>
          <t>AFM API + switch SSH (est.)</t>
        </is>
      </c>
      <c r="J209" s="21" t="inlineStr">
        <is>
          <t>Switch</t>
        </is>
      </c>
      <c r="K209" s="21" t="inlineStr">
        <is>
          <t>BKC-26.12 plan</t>
        </is>
      </c>
      <c r="L209" t="inlineStr">
        <is>
          <t>Non-disruptive (est.)</t>
        </is>
      </c>
    </row>
    <row r="210" hidden="1" ht="32" customHeight="1" s="33">
      <c r="A210" s="7" t="inlineStr">
        <is>
          <t>TC-BUG-019</t>
        </is>
      </c>
      <c r="B210" s="7" t="inlineStr">
        <is>
          <t>L3</t>
        </is>
      </c>
      <c r="C210" s="8" t="inlineStr">
        <is>
          <t>Switch agent starts correctly with mgmt IP on non-default interface (eth1)</t>
        </is>
      </c>
      <c r="D210" t="inlineStr">
        <is>
          <t>Yes</t>
        </is>
      </c>
      <c r="I210" s="21" t="inlineStr">
        <is>
          <t>out-of-band mgmt network control + AFM API + switch SSH</t>
        </is>
      </c>
      <c r="J210" s="21" t="inlineStr">
        <is>
          <t>Switch</t>
        </is>
      </c>
      <c r="K210" s="21" t="inlineStr">
        <is>
          <t>BKC-26.12 plan</t>
        </is>
      </c>
      <c r="L210" t="inlineStr">
        <is>
          <t>Disruptive</t>
        </is>
      </c>
    </row>
    <row r="211" hidden="1" ht="16" customHeight="1" s="33">
      <c r="A211" s="7" t="inlineStr">
        <is>
          <t>TC-BUG-020</t>
        </is>
      </c>
      <c r="B211" s="7" t="inlineStr">
        <is>
          <t>L3</t>
        </is>
      </c>
      <c r="C211" s="8" t="inlineStr">
        <is>
          <t>Switch agent rejects invalid fru.json and does not start</t>
        </is>
      </c>
      <c r="D211" t="inlineStr">
        <is>
          <t>Yes</t>
        </is>
      </c>
      <c r="F211" t="inlineStr">
        <is>
          <t>Skipped</t>
        </is>
      </c>
      <c r="G211" t="inlineStr">
        <is>
          <t>AFM 0.1.0-AICC-817</t>
        </is>
      </c>
      <c r="H211" s="21" t="inlineStr">
        <is>
          <t>[g02-g17 disruptive switch/AFM, 17-18 Oct 2026] Skipped: thresholds.afm.fru_json_path not set (location of the switch agent's fru.json) (helios-tests g02-g17-20261017-144312)</t>
        </is>
      </c>
      <c r="I211" s="21" t="inlineStr">
        <is>
          <t>AFM API + switch SSH</t>
        </is>
      </c>
      <c r="J211" s="21" t="inlineStr">
        <is>
          <t>Switch</t>
        </is>
      </c>
      <c r="K211" s="21" t="inlineStr">
        <is>
          <t>BKC-26.12 plan</t>
        </is>
      </c>
      <c r="L211" t="inlineStr">
        <is>
          <t>Disruptive</t>
        </is>
      </c>
    </row>
    <row r="212" hidden="1" ht="16" customHeight="1" s="33">
      <c r="A212" s="7" t="inlineStr">
        <is>
          <t>TC-BUG-021</t>
        </is>
      </c>
      <c r="B212" s="7" t="inlineStr">
        <is>
          <t>L3</t>
        </is>
      </c>
      <c r="C212" s="8" t="inlineStr">
        <is>
          <t>Switch OOB interface names are consistent across reboots</t>
        </is>
      </c>
      <c r="D212" t="inlineStr">
        <is>
          <t>Yes</t>
        </is>
      </c>
      <c r="I212" s="21" t="inlineStr">
        <is>
          <t>Switch SSH + switch reboot</t>
        </is>
      </c>
      <c r="J212" s="21" t="inlineStr">
        <is>
          <t>Switch</t>
        </is>
      </c>
      <c r="K212" s="21" t="inlineStr">
        <is>
          <t>BKC-26.12 plan</t>
        </is>
      </c>
      <c r="L212" t="inlineStr">
        <is>
          <t>Disruptive</t>
        </is>
      </c>
    </row>
    <row r="213" hidden="1" ht="32" customHeight="1" s="33">
      <c r="A213" s="7" t="inlineStr">
        <is>
          <t>TC-BUG-022</t>
        </is>
      </c>
      <c r="B213" s="7" t="inlineStr">
        <is>
          <t>L3</t>
        </is>
      </c>
      <c r="C213" s="8" t="inlineStr">
        <is>
          <t>Log rotation is configured on switch /var/log partition</t>
        </is>
      </c>
      <c r="D213" t="inlineStr">
        <is>
          <t>Yes</t>
        </is>
      </c>
      <c r="F213" t="inlineStr">
        <is>
          <t>PASS</t>
        </is>
      </c>
      <c r="G213" t="inlineStr">
        <is>
          <t>SONiC.202505I20260915070938_x100.15; afm-agent/controller 202505I20260915070938_x100.15</t>
        </is>
      </c>
      <c r="H213" s="21" t="inlineStr">
        <is>
          <t>[g02-g17 full rack, non-disruptive switch + AFM API, 14 Oct 2026] 6 item(s) passed (helios-tests fullrack-switch-nd-filtered, g02-g17-20261014-092828, g02-g17-20261014-170350, g02-g17-20261014-170910)</t>
        </is>
      </c>
      <c r="I213" s="21" t="inlineStr">
        <is>
          <t>Switch SSH</t>
        </is>
      </c>
      <c r="J213" s="21" t="inlineStr">
        <is>
          <t>Switch</t>
        </is>
      </c>
      <c r="K213" s="21" t="inlineStr">
        <is>
          <t>BKC-26.12 plan</t>
        </is>
      </c>
      <c r="L213" t="inlineStr">
        <is>
          <t>Non-disruptive</t>
        </is>
      </c>
    </row>
    <row r="214" hidden="1" ht="16" customHeight="1" s="33">
      <c r="A214" s="7" t="inlineStr">
        <is>
          <t>TC-BUG-025</t>
        </is>
      </c>
      <c r="B214" s="7" t="inlineStr">
        <is>
          <t>L3</t>
        </is>
      </c>
      <c r="C214" s="8" t="inlineStr">
        <is>
          <t>GPU failure status is not prematurely cleared during vPOD reconcile</t>
        </is>
      </c>
      <c r="D214" t="inlineStr">
        <is>
          <t>Yes</t>
        </is>
      </c>
      <c r="F214" t="inlineStr">
        <is>
          <t>PARTIAL</t>
        </is>
      </c>
      <c r="G214" t="inlineStr">
        <is>
          <t>AFM 0.1.0-AICC-817</t>
        </is>
      </c>
      <c r="H214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14" s="21" t="inlineStr">
        <is>
          <t>AFM API + switch SSH</t>
        </is>
      </c>
      <c r="J214" s="21" t="inlineStr">
        <is>
          <t>Switch</t>
        </is>
      </c>
      <c r="K214" s="21" t="inlineStr">
        <is>
          <t>BKC-26.12 plan</t>
        </is>
      </c>
      <c r="L214" t="inlineStr">
        <is>
          <t>Disruptive</t>
        </is>
      </c>
    </row>
    <row r="215" hidden="1" ht="32" customHeight="1" s="33">
      <c r="A215" s="7" t="inlineStr">
        <is>
          <t>TC-BUG-026</t>
        </is>
      </c>
      <c r="B215" s="7" t="inlineStr">
        <is>
          <t>L3</t>
        </is>
      </c>
      <c r="C215" s="8" t="inlineStr">
        <is>
          <t>vPOD does not get stuck in 'operation failed' when GPUs are healthy</t>
        </is>
      </c>
      <c r="D215" t="inlineStr">
        <is>
          <t>Yes</t>
        </is>
      </c>
      <c r="F215" t="inlineStr">
        <is>
          <t>PARTIAL</t>
        </is>
      </c>
      <c r="G215" t="inlineStr">
        <is>
          <t>AFM 0.1.0-AICC-817</t>
        </is>
      </c>
      <c r="H21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15" s="21" t="inlineStr">
        <is>
          <t>AFM API (disruptive)</t>
        </is>
      </c>
      <c r="J215" s="21" t="inlineStr">
        <is>
          <t>Switch (AFM API)</t>
        </is>
      </c>
      <c r="K215" s="21" t="inlineStr">
        <is>
          <t>BKC-26.12 plan</t>
        </is>
      </c>
      <c r="L215" t="inlineStr">
        <is>
          <t>Disruptive</t>
        </is>
      </c>
    </row>
    <row r="216" hidden="1" ht="32" customHeight="1" s="33">
      <c r="A216" s="7" t="inlineStr">
        <is>
          <t>TC-BUG-027</t>
        </is>
      </c>
      <c r="B216" s="7" t="inlineStr">
        <is>
          <t>L3</t>
        </is>
      </c>
      <c r="C216" s="8" t="inlineStr">
        <is>
          <t>vPOD update does not get stuck in ConfigDone state when adding nodes</t>
        </is>
      </c>
      <c r="D216" t="inlineStr">
        <is>
          <t>Yes</t>
        </is>
      </c>
      <c r="F216" t="inlineStr">
        <is>
          <t>PARTIAL</t>
        </is>
      </c>
      <c r="G216" t="inlineStr">
        <is>
          <t>AFM 0.1.0-AICC-817</t>
        </is>
      </c>
      <c r="H216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16" s="21" t="inlineStr">
        <is>
          <t>AFM API (disruptive)</t>
        </is>
      </c>
      <c r="J216" s="21" t="inlineStr">
        <is>
          <t>Switch (AFM API)</t>
        </is>
      </c>
      <c r="K216" s="21" t="inlineStr">
        <is>
          <t>BKC-26.12 plan</t>
        </is>
      </c>
      <c r="L216" t="inlineStr">
        <is>
          <t>Disruptive</t>
        </is>
      </c>
    </row>
    <row r="217" hidden="1" ht="16" customHeight="1" s="33">
      <c r="A217" s="7" t="inlineStr">
        <is>
          <t>TC-BUG-029</t>
        </is>
      </c>
      <c r="B217" s="7" t="inlineStr">
        <is>
          <t>L3</t>
        </is>
      </c>
      <c r="C217" s="8" t="inlineStr">
        <is>
          <t>vPOD state correctness when sysfs writes fail on GPU</t>
        </is>
      </c>
      <c r="D217" t="inlineStr">
        <is>
          <t>No</t>
        </is>
      </c>
      <c r="F217" t="inlineStr">
        <is>
          <t>NA</t>
        </is>
      </c>
      <c r="H217" t="inlineStr">
        <is>
          <t>[Not automated, 15 Oct 2026] Reason: needs a GPU fault that cannot be injected. Needed (from AMD / lab): A supported way to inject each fault (debug knob, test build, sysfs override), and how to clear it afterwards. (details: docs/amd-inputs.html in helios-tests)</t>
        </is>
      </c>
      <c r="I217" s="21" t="inlineStr">
        <is>
          <t>AFM API + compute SSH (afmctl) (est.)</t>
        </is>
      </c>
      <c r="J217" s="21" t="inlineStr">
        <is>
          <t>Compute</t>
        </is>
      </c>
      <c r="K217" s="21" t="inlineStr">
        <is>
          <t>BKC-26.12 plan</t>
        </is>
      </c>
      <c r="L217" t="inlineStr">
        <is>
          <t>Non-disruptive (est.)</t>
        </is>
      </c>
    </row>
    <row r="218" hidden="1" ht="32" customHeight="1" s="33">
      <c r="A218" s="7" t="inlineStr">
        <is>
          <t>TC-BUG-030</t>
        </is>
      </c>
      <c r="B218" s="7" t="inlineStr">
        <is>
          <t>L3</t>
        </is>
      </c>
      <c r="C218" s="8" t="inlineStr">
        <is>
          <t>Switch Drain triggers GPU reprogramming</t>
        </is>
      </c>
      <c r="D218" t="inlineStr">
        <is>
          <t>Yes</t>
        </is>
      </c>
      <c r="F218" t="inlineStr">
        <is>
          <t>PARTIAL</t>
        </is>
      </c>
      <c r="G218" t="inlineStr">
        <is>
          <t>AFM 0.1.0-AICC-817</t>
        </is>
      </c>
      <c r="H218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18" s="21" t="inlineStr">
        <is>
          <t>AFM API (disruptive)</t>
        </is>
      </c>
      <c r="J218" s="21" t="inlineStr">
        <is>
          <t>Switch (AFM API)</t>
        </is>
      </c>
      <c r="K218" s="21" t="inlineStr">
        <is>
          <t>BKC-26.12 plan</t>
        </is>
      </c>
      <c r="L218" t="inlineStr">
        <is>
          <t>Disruptive</t>
        </is>
      </c>
    </row>
    <row r="219" hidden="1" ht="16" customHeight="1" s="33">
      <c r="A219" s="7" t="inlineStr">
        <is>
          <t>TC-BUG-031</t>
        </is>
      </c>
      <c r="B219" s="7" t="inlineStr">
        <is>
          <t>L3</t>
        </is>
      </c>
      <c r="C219" s="8" t="inlineStr">
        <is>
          <t>Password recovery procedure preserves admin user</t>
        </is>
      </c>
      <c r="D219" t="inlineStr">
        <is>
          <t>No</t>
        </is>
      </c>
      <c r="F219" t="inlineStr">
        <is>
          <t>NA</t>
        </is>
      </c>
      <c r="H219" t="inlineStr">
        <is>
          <t>[Not automated, 15 Oct 2026] Reason: needs lab equipment / setup (Password recovery). Needed (from AMD / lab): The supported admin password-recovery procedure. (details: docs/amd-inputs.html in helios-tests)</t>
        </is>
      </c>
      <c r="I219" s="21" t="inlineStr">
        <is>
          <t>Switch SSH + password-recovery procedure (est.)</t>
        </is>
      </c>
      <c r="J219" s="21" t="inlineStr">
        <is>
          <t>Switch</t>
        </is>
      </c>
      <c r="K219" s="21" t="inlineStr">
        <is>
          <t>BKC-26.12 plan</t>
        </is>
      </c>
      <c r="L219" t="inlineStr">
        <is>
          <t>Non-disruptive (est.)</t>
        </is>
      </c>
    </row>
    <row r="220" hidden="1" ht="16" customHeight="1" s="33">
      <c r="A220" s="7" t="inlineStr">
        <is>
          <t>TC-BUG-032</t>
        </is>
      </c>
      <c r="B220" s="7" t="inlineStr">
        <is>
          <t>L3</t>
        </is>
      </c>
      <c r="C220" s="8" t="inlineStr">
        <is>
          <t>Controller stability during password recovery and re-login</t>
        </is>
      </c>
      <c r="D220" t="inlineStr">
        <is>
          <t>No</t>
        </is>
      </c>
      <c r="F220" t="inlineStr">
        <is>
          <t>NA</t>
        </is>
      </c>
      <c r="H220" t="inlineStr">
        <is>
          <t>[Not automated, 15 Oct 2026] Reason: needs lab equipment / setup (Password recovery). Needed (from AMD / lab): The supported admin password-recovery procedure. (details: docs/amd-inputs.html in helios-tests)</t>
        </is>
      </c>
      <c r="I220" s="21" t="inlineStr">
        <is>
          <t>Switch SSH + password-recovery procedure (est.)</t>
        </is>
      </c>
      <c r="J220" s="21" t="inlineStr">
        <is>
          <t>Switch</t>
        </is>
      </c>
      <c r="K220" s="21" t="inlineStr">
        <is>
          <t>BKC-26.12 plan</t>
        </is>
      </c>
      <c r="L220" t="inlineStr">
        <is>
          <t>Non-disruptive (est.)</t>
        </is>
      </c>
    </row>
    <row r="221" hidden="1" ht="32" customHeight="1" s="33">
      <c r="A221" s="7" t="inlineStr">
        <is>
          <t>TC-BUG-033</t>
        </is>
      </c>
      <c r="B221" s="7" t="inlineStr">
        <is>
          <t>L3</t>
        </is>
      </c>
      <c r="C221" s="8" t="inlineStr">
        <is>
          <t>Input validation for login attempt configuration</t>
        </is>
      </c>
      <c r="D221" t="inlineStr">
        <is>
          <t>Yes</t>
        </is>
      </c>
      <c r="F221" t="inlineStr">
        <is>
          <t>PASS</t>
        </is>
      </c>
      <c r="G221" t="inlineStr">
        <is>
          <t>SONiC.202505I20260915070938_x100.15; afm-agent/controller 202505I20260915070938_x100.15</t>
        </is>
      </c>
      <c r="H221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21" s="21" t="inlineStr">
        <is>
          <t>AFM API</t>
        </is>
      </c>
      <c r="J221" s="21" t="inlineStr">
        <is>
          <t>Switch (AFM API)</t>
        </is>
      </c>
      <c r="K221" s="21" t="inlineStr">
        <is>
          <t>BKC-26.12 plan</t>
        </is>
      </c>
      <c r="L221" t="inlineStr">
        <is>
          <t>Non-disruptive</t>
        </is>
      </c>
    </row>
    <row r="222" hidden="1" ht="32" customHeight="1" s="33">
      <c r="A222" s="7" t="inlineStr">
        <is>
          <t>TC-CTL-004</t>
        </is>
      </c>
      <c r="B222" s="7" t="inlineStr">
        <is>
          <t>L3</t>
        </is>
      </c>
      <c r="C222" s="8" t="inlineStr">
        <is>
          <t>WebSocket connections with expired/invalid sessions are rejected</t>
        </is>
      </c>
      <c r="D222" t="inlineStr">
        <is>
          <t>Yes</t>
        </is>
      </c>
      <c r="F222" t="inlineStr">
        <is>
          <t>PASS</t>
        </is>
      </c>
      <c r="G222" t="inlineStr">
        <is>
          <t>SONiC.202505I20260915070938_x100.15; afm-agent/controller 202505I20260915070938_x100.15</t>
        </is>
      </c>
      <c r="H222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22" s="21" t="inlineStr">
        <is>
          <t>AFM API</t>
        </is>
      </c>
      <c r="J222" s="21" t="inlineStr">
        <is>
          <t>Switch (AFM API)</t>
        </is>
      </c>
      <c r="K222" s="21" t="inlineStr">
        <is>
          <t>BKC-26.12 plan</t>
        </is>
      </c>
      <c r="L222" t="inlineStr">
        <is>
          <t>Non-disruptive</t>
        </is>
      </c>
    </row>
    <row r="223" hidden="1" ht="32" customHeight="1" s="33">
      <c r="A223" s="7" t="inlineStr">
        <is>
          <t>TC-CTL-006</t>
        </is>
      </c>
      <c r="B223" s="7" t="inlineStr">
        <is>
          <t>L3</t>
        </is>
      </c>
      <c r="C223" s="8" t="inlineStr">
        <is>
          <t>Single-kind watch emits a Control event for various kinds</t>
        </is>
      </c>
      <c r="D223" t="inlineStr">
        <is>
          <t>Yes</t>
        </is>
      </c>
      <c r="F223" t="inlineStr">
        <is>
          <t>PASS</t>
        </is>
      </c>
      <c r="G223" t="inlineStr">
        <is>
          <t>SONiC.202505I20260915070938_x100.15; afm-agent/controller 202505I20260915070938_x100.15</t>
        </is>
      </c>
      <c r="H223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23" s="21" t="inlineStr">
        <is>
          <t>AFM API</t>
        </is>
      </c>
      <c r="J223" s="21" t="inlineStr">
        <is>
          <t>Switch (AFM API)</t>
        </is>
      </c>
      <c r="K223" s="21" t="inlineStr">
        <is>
          <t>BKC-26.12 plan</t>
        </is>
      </c>
      <c r="L223" t="inlineStr">
        <is>
          <t>Non-disruptive</t>
        </is>
      </c>
    </row>
    <row r="224" hidden="1" ht="32" customHeight="1" s="33">
      <c r="A224" s="7" t="inlineStr">
        <is>
          <t>TC-CTL-009</t>
        </is>
      </c>
      <c r="B224" s="7" t="inlineStr">
        <is>
          <t>L3</t>
        </is>
      </c>
      <c r="C224" s="8" t="inlineStr">
        <is>
          <t>Watch with resource-version set to -1 (latest only)</t>
        </is>
      </c>
      <c r="D224" t="inlineStr">
        <is>
          <t>Yes</t>
        </is>
      </c>
      <c r="F224" t="inlineStr">
        <is>
          <t>PASS</t>
        </is>
      </c>
      <c r="G224" t="inlineStr">
        <is>
          <t>SONiC.202505I20260915070938_x100.15; afm-agent/controller 202505I20260915070938_x100.15</t>
        </is>
      </c>
      <c r="H224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24" s="21" t="inlineStr">
        <is>
          <t>AFM API</t>
        </is>
      </c>
      <c r="J224" s="21" t="inlineStr">
        <is>
          <t>Switch (AFM API)</t>
        </is>
      </c>
      <c r="K224" s="21" t="inlineStr">
        <is>
          <t>BKC-26.12 plan</t>
        </is>
      </c>
      <c r="L224" t="inlineStr">
        <is>
          <t>Non-disruptive</t>
        </is>
      </c>
    </row>
    <row r="225" hidden="1" ht="32" customHeight="1" s="33">
      <c r="A225" s="7" t="inlineStr">
        <is>
          <t>TC-CTL-011</t>
        </is>
      </c>
      <c r="B225" s="7" t="inlineStr">
        <is>
          <t>L3</t>
        </is>
      </c>
      <c r="C225" s="8" t="inlineStr">
        <is>
          <t>Updated event is received when an AlertPolicy is modified</t>
        </is>
      </c>
      <c r="D225" t="inlineStr">
        <is>
          <t>Yes</t>
        </is>
      </c>
      <c r="F225" t="inlineStr">
        <is>
          <t>PASS</t>
        </is>
      </c>
      <c r="G225" t="inlineStr">
        <is>
          <t>SONiC.202505I20260915070938_x100.15; afm-agent/controller 202505I20260915070938_x100.15</t>
        </is>
      </c>
      <c r="H225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25" s="21" t="inlineStr">
        <is>
          <t>AFM API</t>
        </is>
      </c>
      <c r="J225" s="21" t="inlineStr">
        <is>
          <t>Switch (AFM API)</t>
        </is>
      </c>
      <c r="K225" s="21" t="inlineStr">
        <is>
          <t>BKC-26.12 plan</t>
        </is>
      </c>
      <c r="L225" t="inlineStr">
        <is>
          <t>Non-disruptive</t>
        </is>
      </c>
    </row>
    <row r="226" hidden="1" ht="32" customHeight="1" s="33">
      <c r="A226" s="7" t="inlineStr">
        <is>
          <t>TC-CTL-013</t>
        </is>
      </c>
      <c r="B226" s="7" t="inlineStr">
        <is>
          <t>L3</t>
        </is>
      </c>
      <c r="C226" s="8" t="inlineStr">
        <is>
          <t>CRUD events from multiple watched kinds on a single connection</t>
        </is>
      </c>
      <c r="D226" t="inlineStr">
        <is>
          <t>Yes</t>
        </is>
      </c>
      <c r="F226" t="inlineStr">
        <is>
          <t>PASS</t>
        </is>
      </c>
      <c r="G226" t="inlineStr">
        <is>
          <t>SONiC.202505I20260915070938_x100.15; afm-agent/controller 202505I20260915070938_x100.15</t>
        </is>
      </c>
      <c r="H226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26" s="21" t="inlineStr">
        <is>
          <t>AFM API</t>
        </is>
      </c>
      <c r="J226" s="21" t="inlineStr">
        <is>
          <t>Switch (AFM API)</t>
        </is>
      </c>
      <c r="K226" s="21" t="inlineStr">
        <is>
          <t>BKC-26.12 plan</t>
        </is>
      </c>
      <c r="L226" t="inlineStr">
        <is>
          <t>Non-disruptive</t>
        </is>
      </c>
    </row>
    <row r="227" hidden="1" ht="32" customHeight="1" s="33">
      <c r="A227" s="7" t="inlineStr">
        <is>
          <t>TC-CTL-021</t>
        </is>
      </c>
      <c r="B227" s="7" t="inlineStr">
        <is>
          <t>L3</t>
        </is>
      </c>
      <c r="C227" s="8" t="inlineStr">
        <is>
          <t>Same-origin and no-origin WebSocket connections still work</t>
        </is>
      </c>
      <c r="D227" t="inlineStr">
        <is>
          <t>Yes</t>
        </is>
      </c>
      <c r="F227" t="inlineStr">
        <is>
          <t>PASS</t>
        </is>
      </c>
      <c r="G227" t="inlineStr">
        <is>
          <t>SONiC.202505I20260915070938_x100.15; afm-agent/controller 202505I20260915070938_x100.15</t>
        </is>
      </c>
      <c r="H227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27" s="21" t="inlineStr">
        <is>
          <t>AFM API</t>
        </is>
      </c>
      <c r="J227" s="21" t="inlineStr">
        <is>
          <t>Switch (AFM API)</t>
        </is>
      </c>
      <c r="K227" s="21" t="inlineStr">
        <is>
          <t>BKC-26.12 plan</t>
        </is>
      </c>
      <c r="L227" t="inlineStr">
        <is>
          <t>Non-disruptive</t>
        </is>
      </c>
    </row>
    <row r="228" hidden="1" ht="32" customHeight="1" s="33">
      <c r="A228" s="7" t="inlineStr">
        <is>
          <t>TC-CTL-022</t>
        </is>
      </c>
      <c r="B228" s="7" t="inlineStr">
        <is>
          <t>L3</t>
        </is>
      </c>
      <c r="C228" s="8" t="inlineStr">
        <is>
          <t>The session cookie has SameSite=Strict, Secure, and HttpOnly</t>
        </is>
      </c>
      <c r="D228" t="inlineStr">
        <is>
          <t>Yes</t>
        </is>
      </c>
      <c r="F228" t="inlineStr">
        <is>
          <t>PASS</t>
        </is>
      </c>
      <c r="G228" t="inlineStr">
        <is>
          <t>SONiC.202505I20260915070938_x100.15; afm-agent/controller 202505I20260915070938_x100.15</t>
        </is>
      </c>
      <c r="H228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28" s="21" t="inlineStr">
        <is>
          <t>AFM API</t>
        </is>
      </c>
      <c r="J228" s="21" t="inlineStr">
        <is>
          <t>Switch (AFM API)</t>
        </is>
      </c>
      <c r="K228" s="21" t="inlineStr">
        <is>
          <t>BKC-26.12 plan</t>
        </is>
      </c>
      <c r="L228" t="inlineStr">
        <is>
          <t>Non-disruptive</t>
        </is>
      </c>
    </row>
    <row r="229" hidden="1" ht="32" customHeight="1" s="33">
      <c r="A229" s="7" t="inlineStr">
        <is>
          <t>TC-CTL-023</t>
        </is>
      </c>
      <c r="B229" s="7" t="inlineStr">
        <is>
          <t>L3</t>
        </is>
      </c>
      <c r="C229" s="8" t="inlineStr">
        <is>
          <t>Server does not hang when client never sends watch options</t>
        </is>
      </c>
      <c r="D229" t="inlineStr">
        <is>
          <t>Yes</t>
        </is>
      </c>
      <c r="F229" t="inlineStr">
        <is>
          <t>PASS</t>
        </is>
      </c>
      <c r="G229" t="inlineStr">
        <is>
          <t>SONiC.202505I20260915070938_x100.15; afm-agent/controller 202505I20260915070938_x100.15</t>
        </is>
      </c>
      <c r="H229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29" s="21" t="inlineStr">
        <is>
          <t>AFM API</t>
        </is>
      </c>
      <c r="J229" s="21" t="inlineStr">
        <is>
          <t>Switch (AFM API)</t>
        </is>
      </c>
      <c r="K229" s="21" t="inlineStr">
        <is>
          <t>BKC-26.12 plan</t>
        </is>
      </c>
      <c r="L229" t="inlineStr">
        <is>
          <t>Non-disruptive</t>
        </is>
      </c>
    </row>
    <row r="230" hidden="1" ht="32" customHeight="1" s="33">
      <c r="A230" s="7" t="inlineStr">
        <is>
          <t>TC-CTL-024</t>
        </is>
      </c>
      <c r="B230" s="7" t="inlineStr">
        <is>
          <t>L3</t>
        </is>
      </c>
      <c r="C230" s="8" t="inlineStr">
        <is>
          <t>Server handles malformed JSON watch options gracefully</t>
        </is>
      </c>
      <c r="D230" t="inlineStr">
        <is>
          <t>Yes</t>
        </is>
      </c>
      <c r="F230" t="inlineStr">
        <is>
          <t>PASS</t>
        </is>
      </c>
      <c r="G230" t="inlineStr">
        <is>
          <t>SONiC.202505I20260915070938_x100.15; afm-agent/controller 202505I20260915070938_x100.15</t>
        </is>
      </c>
      <c r="H230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30" s="21" t="inlineStr">
        <is>
          <t>AFM API</t>
        </is>
      </c>
      <c r="J230" s="21" t="inlineStr">
        <is>
          <t>Switch (AFM API)</t>
        </is>
      </c>
      <c r="K230" s="21" t="inlineStr">
        <is>
          <t>BKC-26.12 plan</t>
        </is>
      </c>
      <c r="L230" t="inlineStr">
        <is>
          <t>Non-disruptive</t>
        </is>
      </c>
    </row>
    <row r="231" hidden="1" ht="32" customHeight="1" s="33">
      <c r="A231" s="7" t="inlineStr">
        <is>
          <t>TC-CTL-026</t>
        </is>
      </c>
      <c r="B231" s="7" t="inlineStr">
        <is>
          <t>L3</t>
        </is>
      </c>
      <c r="C231" s="8" t="inlineStr">
        <is>
          <t>Behavior when RBAC changes during an active AggWatch connection</t>
        </is>
      </c>
      <c r="D231" t="inlineStr">
        <is>
          <t>Yes</t>
        </is>
      </c>
      <c r="F231" t="inlineStr">
        <is>
          <t>PASS</t>
        </is>
      </c>
      <c r="G231" t="inlineStr">
        <is>
          <t>SONiC.202505I20260915070938_x100.15; afm-agent/controller 202505I20260915070938_x100.15</t>
        </is>
      </c>
      <c r="H231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31" s="21" t="inlineStr">
        <is>
          <t>AFM API</t>
        </is>
      </c>
      <c r="J231" s="21" t="inlineStr">
        <is>
          <t>Switch (AFM API)</t>
        </is>
      </c>
      <c r="K231" s="21" t="inlineStr">
        <is>
          <t>BKC-26.12 plan</t>
        </is>
      </c>
      <c r="L231" t="inlineStr">
        <is>
          <t>Non-disruptive</t>
        </is>
      </c>
    </row>
    <row r="232" hidden="1" ht="32" customHeight="1" s="33">
      <c r="A232" s="7" t="inlineStr">
        <is>
          <t>TC-CTL-035</t>
        </is>
      </c>
      <c r="B232" s="7" t="inlineStr">
        <is>
          <t>L3</t>
        </is>
      </c>
      <c r="C232" s="8" t="inlineStr">
        <is>
          <t>NTP Sync is enabled on all the Nodes</t>
        </is>
      </c>
      <c r="D232" t="inlineStr">
        <is>
          <t>Yes</t>
        </is>
      </c>
      <c r="F232" t="inlineStr">
        <is>
          <t>PARTIAL</t>
        </is>
      </c>
      <c r="G232" t="inlineStr">
        <is>
          <t>SONiC.202505I20260915070938_x100.15; afm-agent/controller 202505I20260915070938_x100.15; ROCm 10.2.0a20260922</t>
        </is>
      </c>
      <c r="H232" t="inlineStr">
        <is>
          <t>[g02-g17 full rack, rack health check: ran 2026-10-16 05:38 UTC (run g02-g17-20261016-053848), health result g02-g17-20261016-135436-merged] PARTIAL: fails only because CT05 (10.255.4.51) is unreachable - the health check groups it under the root cause "ct05 unreachable"; passed on every reachable node.
Earlier: [g02-g17 full rack, non-disruptive compute / switch+compute, 14 Oct 2026 19:34-19:47 UTC, helios-tests g02-g17-20261014-194703 (jump host)] FAIL: NTPSynchronized=no on all 6 switches and every reachable compute tray; st1 -43.6 s and st5 -32.9 s vs the jump host clock.</t>
        </is>
      </c>
      <c r="I232" s="21" t="inlineStr">
        <is>
          <t>Switch + compute SSH</t>
        </is>
      </c>
      <c r="J232" s="21" t="inlineStr">
        <is>
          <t>Switch + Compute</t>
        </is>
      </c>
      <c r="K232" s="21" t="inlineStr">
        <is>
          <t>BKC-26.12 plan</t>
        </is>
      </c>
      <c r="L232" t="inlineStr">
        <is>
          <t>Non-disruptive</t>
        </is>
      </c>
      <c r="M232" t="inlineStr">
        <is>
          <t>Warning</t>
        </is>
      </c>
    </row>
    <row r="233" hidden="1" ht="32" customHeight="1" s="33">
      <c r="A233" s="7" t="inlineStr">
        <is>
          <t>TC-CTL-036</t>
        </is>
      </c>
      <c r="B233" s="7" t="inlineStr">
        <is>
          <t>L3</t>
        </is>
      </c>
      <c r="C233" s="8" t="inlineStr">
        <is>
          <t>Cluster and all quorum nodes is healthy</t>
        </is>
      </c>
      <c r="D233" t="inlineStr">
        <is>
          <t>Yes</t>
        </is>
      </c>
      <c r="F233" t="inlineStr">
        <is>
          <t>PASS</t>
        </is>
      </c>
      <c r="G233" t="inlineStr">
        <is>
          <t>SONiC.202505I20260915070938_x100.15; afm-agent/controller 202505I20260915070938_x100.15; ROCm 10.2.0a20260922</t>
        </is>
      </c>
      <c r="H233" s="21" t="inlineStr">
        <is>
          <t>[g02-g17 full rack, rack health check: ran 2026-10-15 14:41 UTC (run g02-g17-20261015-151528), health result g02-g17-20261016-135436-merged] PASS.
Earlier: [g02-g17 full rack, non-disruptive switch + AFM API, 14 Oct 2026] 1 item(s) passed (helios-tests fullrack-switch-nd-filtered, g02-g17-20261014-092828, g02-g17-20261014-170350, g02-g17-20261014-170910)
Earlier: 10 Oct post-bringup gate: cluster healthy=true, leader 10.190.198.49, 3/3 quorum members (.49/.50/.51) started with conditions true.</t>
        </is>
      </c>
      <c r="I233" s="21" t="inlineStr">
        <is>
          <t>AFM API</t>
        </is>
      </c>
      <c r="J233" s="21" t="inlineStr">
        <is>
          <t>Switch (AFM API)</t>
        </is>
      </c>
      <c r="K233" s="21" t="inlineStr">
        <is>
          <t>BKC-26.12 plan</t>
        </is>
      </c>
      <c r="L233" s="21" t="inlineStr">
        <is>
          <t>Non-disruptive</t>
        </is>
      </c>
      <c r="M233" s="21" t="inlineStr">
        <is>
          <t>Blocker</t>
        </is>
      </c>
    </row>
    <row r="234" hidden="1" ht="32" customHeight="1" s="33">
      <c r="A234" s="7" t="inlineStr">
        <is>
          <t>TC-CTL-039</t>
        </is>
      </c>
      <c r="B234" s="7" t="inlineStr">
        <is>
          <t>L3</t>
        </is>
      </c>
      <c r="C234" s="8" t="inlineStr">
        <is>
          <t>Config Snapshot Restore — auth policy, user, and role objects</t>
        </is>
      </c>
      <c r="D234" t="inlineStr">
        <is>
          <t>Yes</t>
        </is>
      </c>
      <c r="F234" t="inlineStr">
        <is>
          <t>PARTIAL</t>
        </is>
      </c>
      <c r="G234" t="inlineStr">
        <is>
          <t>AFM 0.1.0-AICC-817</t>
        </is>
      </c>
      <c r="H234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34" s="21" t="inlineStr">
        <is>
          <t>AFM API (disruptive)</t>
        </is>
      </c>
      <c r="J234" s="21" t="inlineStr">
        <is>
          <t>Switch (AFM API)</t>
        </is>
      </c>
      <c r="K234" s="21" t="inlineStr">
        <is>
          <t>BKC-26.12 plan</t>
        </is>
      </c>
      <c r="L234" t="inlineStr">
        <is>
          <t>Disruptive</t>
        </is>
      </c>
    </row>
    <row r="235" hidden="1" ht="32" customHeight="1" s="33">
      <c r="A235" s="7" t="inlineStr">
        <is>
          <t>TC-CTL-040</t>
        </is>
      </c>
      <c r="B235" s="7" t="inlineStr">
        <is>
          <t>L3</t>
        </is>
      </c>
      <c r="C235" s="8" t="inlineStr">
        <is>
          <t>Config Snapshot Restore after removing a compute from system vPOD</t>
        </is>
      </c>
      <c r="D235" t="inlineStr">
        <is>
          <t>Yes</t>
        </is>
      </c>
      <c r="F235" t="inlineStr">
        <is>
          <t>PARTIAL</t>
        </is>
      </c>
      <c r="G235" t="inlineStr">
        <is>
          <t>AFM 0.1.0-AICC-817</t>
        </is>
      </c>
      <c r="H23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35" s="21" t="inlineStr">
        <is>
          <t>AFM API (disruptive)</t>
        </is>
      </c>
      <c r="J235" s="21" t="inlineStr">
        <is>
          <t>Switch (AFM API)</t>
        </is>
      </c>
      <c r="K235" s="21" t="inlineStr">
        <is>
          <t>BKC-26.12 plan</t>
        </is>
      </c>
      <c r="L235" t="inlineStr">
        <is>
          <t>Disruptive</t>
        </is>
      </c>
    </row>
    <row r="236" hidden="1" ht="32" customHeight="1" s="33">
      <c r="A236" s="7" t="inlineStr">
        <is>
          <t>TC-CTL-042</t>
        </is>
      </c>
      <c r="B236" s="7" t="inlineStr">
        <is>
          <t>L3</t>
        </is>
      </c>
      <c r="C236" s="8" t="inlineStr">
        <is>
          <t>Config Snapshot Restore with LDAP and RADIUS server configuration —</t>
        </is>
      </c>
      <c r="D236" t="inlineStr">
        <is>
          <t>Yes</t>
        </is>
      </c>
      <c r="F236" t="inlineStr">
        <is>
          <t>Skipped</t>
        </is>
      </c>
      <c r="G236" t="inlineStr">
        <is>
          <t>AFM 0.1.0-AICC-817</t>
        </is>
      </c>
      <c r="H236" s="21" t="inlineStr">
        <is>
          <t>[g02-g17 disruptive switch/AFM, 17-18 Oct 2026] Skipped: afm.ldap and afm.radius not both configured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36" s="21" t="inlineStr">
        <is>
          <t>LDAP + RADIUS servers + AFM API (disruptive)</t>
        </is>
      </c>
      <c r="J236" s="21" t="inlineStr">
        <is>
          <t>Switch (AFM API)</t>
        </is>
      </c>
      <c r="K236" s="21" t="inlineStr">
        <is>
          <t>BKC-26.12 plan</t>
        </is>
      </c>
      <c r="L236" t="inlineStr">
        <is>
          <t>Disruptive</t>
        </is>
      </c>
    </row>
    <row r="237" hidden="1" ht="32" customHeight="1" s="33">
      <c r="A237" s="7" t="inlineStr">
        <is>
          <t>TC-CTL-044</t>
        </is>
      </c>
      <c r="B237" s="7" t="inlineStr">
        <is>
          <t>L3</t>
        </is>
      </c>
      <c r="C237" s="8" t="inlineStr">
        <is>
          <t>Creating a VPod with a duplicate name is rejected (409)</t>
        </is>
      </c>
      <c r="D237" t="inlineStr">
        <is>
          <t>Yes</t>
        </is>
      </c>
      <c r="F237" t="inlineStr">
        <is>
          <t>PASS</t>
        </is>
      </c>
      <c r="G237" t="inlineStr">
        <is>
          <t>SONiC.202505I20260915070938_x100.15; afm-agent/controller 202505I20260915070938_x100.15</t>
        </is>
      </c>
      <c r="H237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37" s="21" t="inlineStr">
        <is>
          <t>AFM API</t>
        </is>
      </c>
      <c r="J237" s="21" t="inlineStr">
        <is>
          <t>Switch (AFM API)</t>
        </is>
      </c>
      <c r="K237" s="21" t="inlineStr">
        <is>
          <t>BKC-26.12 plan</t>
        </is>
      </c>
      <c r="L237" t="inlineStr">
        <is>
          <t>Non-disruptive</t>
        </is>
      </c>
    </row>
    <row r="238" hidden="1" ht="32" customHeight="1" s="33">
      <c r="A238" s="7" t="inlineStr">
        <is>
          <t>TC-CTL-045</t>
        </is>
      </c>
      <c r="B238" s="7" t="inlineStr">
        <is>
          <t>L3</t>
        </is>
      </c>
      <c r="C238" s="8" t="inlineStr">
        <is>
          <t>Cluster role and bad login behavior</t>
        </is>
      </c>
      <c r="D238" t="inlineStr">
        <is>
          <t>Yes</t>
        </is>
      </c>
      <c r="F238" t="inlineStr">
        <is>
          <t>PASS</t>
        </is>
      </c>
      <c r="G238" t="inlineStr">
        <is>
          <t>SONiC.202505I20260915070938_x100.15; afm-agent/controller 202505I20260915070938_x100.15</t>
        </is>
      </c>
      <c r="H238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38" s="21" t="inlineStr">
        <is>
          <t>AFM API</t>
        </is>
      </c>
      <c r="J238" s="21" t="inlineStr">
        <is>
          <t>Switch (AFM API)</t>
        </is>
      </c>
      <c r="K238" s="21" t="inlineStr">
        <is>
          <t>BKC-26.12 plan</t>
        </is>
      </c>
      <c r="L238" t="inlineStr">
        <is>
          <t>Non-disruptive</t>
        </is>
      </c>
    </row>
    <row r="239" hidden="1" ht="48" customHeight="1" s="33">
      <c r="A239" s="7" t="inlineStr">
        <is>
          <t>TC-CTL-046</t>
        </is>
      </c>
      <c r="B239" s="7" t="inlineStr">
        <is>
          <t>L3</t>
        </is>
      </c>
      <c r="C239" s="8" t="inlineStr">
        <is>
          <t>Auth, monitoring, and workload roles</t>
        </is>
      </c>
      <c r="D239" t="inlineStr">
        <is>
          <t>Yes</t>
        </is>
      </c>
      <c r="F239" t="inlineStr">
        <is>
          <t>FAIL</t>
        </is>
      </c>
      <c r="G239" t="inlineStr">
        <is>
          <t>SONiC.202505I20260915070938_x100.15; afm-agent/controller 202505I20260915070938_x100.15</t>
        </is>
      </c>
      <c r="H239" s="21" t="inlineStr">
        <is>
          <t>[g02-g17 full rack, non-disruptive switch + AFM API, 14 Oct 2026] auth-role user POST /configs/auth/v1/tenant/default/roles -&gt; HTTP 403, expected allowed (helios-tests fullrack-switch-nd-filtered, g02-g17-20261014-092828, g02-g17-20261014-170350, g02-g17-20261014-170910)</t>
        </is>
      </c>
      <c r="I239" s="21" t="inlineStr">
        <is>
          <t>AFM API</t>
        </is>
      </c>
      <c r="J239" s="21" t="inlineStr">
        <is>
          <t>Switch (AFM API)</t>
        </is>
      </c>
      <c r="K239" s="21" t="inlineStr">
        <is>
          <t>BKC-26.12 plan</t>
        </is>
      </c>
      <c r="L239" t="inlineStr">
        <is>
          <t>Non-disruptive</t>
        </is>
      </c>
    </row>
    <row r="240" hidden="1" ht="32" customHeight="1" s="33">
      <c r="A240" s="7" t="inlineStr">
        <is>
          <t>TC-CTL-048</t>
        </is>
      </c>
      <c r="B240" s="7" t="inlineStr">
        <is>
          <t>L3</t>
        </is>
      </c>
      <c r="C240" s="8" t="inlineStr">
        <is>
          <t>AFM Metrics Telemetry for all 5 metric kinds</t>
        </is>
      </c>
      <c r="D240" t="inlineStr">
        <is>
          <t>Yes</t>
        </is>
      </c>
      <c r="F240" t="inlineStr">
        <is>
          <t>PASS</t>
        </is>
      </c>
      <c r="G240" t="inlineStr">
        <is>
          <t>SONiC.202505I20260915070938_x100.15; afm-agent/controller 202505I20260915070938_x100.15</t>
        </is>
      </c>
      <c r="H240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40" s="21" t="inlineStr">
        <is>
          <t>AFM API</t>
        </is>
      </c>
      <c r="J240" s="21" t="inlineStr">
        <is>
          <t>Switch (AFM API)</t>
        </is>
      </c>
      <c r="K240" s="21" t="inlineStr">
        <is>
          <t>BKC-26.12 plan</t>
        </is>
      </c>
      <c r="L240" t="inlineStr">
        <is>
          <t>Non-disruptive</t>
        </is>
      </c>
    </row>
    <row r="241" hidden="1" ht="32" customHeight="1" s="33">
      <c r="A241" s="7" t="inlineStr">
        <is>
          <t>TC-CTL-050</t>
        </is>
      </c>
      <c r="B241" s="7" t="inlineStr">
        <is>
          <t>L3</t>
        </is>
      </c>
      <c r="C241" s="8" t="inlineStr">
        <is>
          <t>AFM Controller leader movement on network disruption</t>
        </is>
      </c>
      <c r="D241" t="inlineStr">
        <is>
          <t>Yes</t>
        </is>
      </c>
      <c r="I241" s="21" t="inlineStr">
        <is>
          <t>out-of-band mgmt network control + AFM API + switch SSH</t>
        </is>
      </c>
      <c r="J241" s="21" t="inlineStr">
        <is>
          <t>Switch</t>
        </is>
      </c>
      <c r="K241" s="21" t="inlineStr">
        <is>
          <t>BKC-26.12 plan</t>
        </is>
      </c>
      <c r="L241" t="inlineStr">
        <is>
          <t>Disruptive</t>
        </is>
      </c>
    </row>
    <row r="242" hidden="1" ht="32" customHeight="1" s="33">
      <c r="A242" s="7" t="inlineStr">
        <is>
          <t>TC-CTL-051</t>
        </is>
      </c>
      <c r="B242" s="7" t="inlineStr">
        <is>
          <t>L3</t>
        </is>
      </c>
      <c r="C242" s="8" t="inlineStr">
        <is>
          <t>AFM Audit Events for CRUD operations and login</t>
        </is>
      </c>
      <c r="D242" t="inlineStr">
        <is>
          <t>Yes</t>
        </is>
      </c>
      <c r="F242" t="inlineStr">
        <is>
          <t>PASS</t>
        </is>
      </c>
      <c r="G242" t="inlineStr">
        <is>
          <t>SONiC.202505I20260915070938_x100.15; afm-agent/controller 202505I20260915070938_x100.15</t>
        </is>
      </c>
      <c r="H242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42" s="21" t="inlineStr">
        <is>
          <t>AFM API</t>
        </is>
      </c>
      <c r="J242" s="21" t="inlineStr">
        <is>
          <t>Switch (AFM API)</t>
        </is>
      </c>
      <c r="K242" s="21" t="inlineStr">
        <is>
          <t>BKC-26.12 plan</t>
        </is>
      </c>
      <c r="L242" t="inlineStr">
        <is>
          <t>Non-disruptive</t>
        </is>
      </c>
    </row>
    <row r="243" hidden="1" ht="16" customHeight="1" s="33">
      <c r="A243" s="7" t="inlineStr">
        <is>
          <t>TC-CTL-054</t>
        </is>
      </c>
      <c r="B243" s="7" t="inlineStr">
        <is>
          <t>L3</t>
        </is>
      </c>
      <c r="C243" s="8" t="inlineStr">
        <is>
          <t>Combined controller + agent rollout upgrade (downgrade to N-1, then upgrade back to N)</t>
        </is>
      </c>
      <c r="D243" t="inlineStr">
        <is>
          <t>Yes</t>
        </is>
      </c>
      <c r="I243" s="21" t="inlineStr">
        <is>
          <t>upgrade images + AFM API (disruptive)</t>
        </is>
      </c>
      <c r="J243" s="21" t="inlineStr">
        <is>
          <t>Switch</t>
        </is>
      </c>
      <c r="K243" s="21" t="inlineStr">
        <is>
          <t>BKC-26.12 plan</t>
        </is>
      </c>
      <c r="L243" t="inlineStr">
        <is>
          <t>Disruptive</t>
        </is>
      </c>
    </row>
    <row r="244" hidden="1" ht="32" customHeight="1" s="33">
      <c r="A244" s="7" t="inlineStr">
        <is>
          <t>TC-CTL-055</t>
        </is>
      </c>
      <c r="B244" s="7" t="inlineStr">
        <is>
          <t>L3</t>
        </is>
      </c>
      <c r="C244" s="8" t="inlineStr">
        <is>
          <t>Config Snapshot Restore with cluster recovery key — full disaster recovery flow</t>
        </is>
      </c>
      <c r="D244" t="inlineStr">
        <is>
          <t>Yes</t>
        </is>
      </c>
      <c r="F244" t="inlineStr">
        <is>
          <t>Skipped</t>
        </is>
      </c>
      <c r="G244" t="inlineStr">
        <is>
          <t>AFM 0.1.0-AICC-817</t>
        </is>
      </c>
      <c r="H244" s="21" t="inlineStr">
        <is>
          <t>[g02-g17 disruptive switch/AFM, 17-18 Oct 2026] Skipped: one-time recovery key: set thresholds.afm.allow_recovery_key: true to download it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44" s="21" t="inlineStr">
        <is>
          <t>AFM API (disruptive)</t>
        </is>
      </c>
      <c r="J244" s="21" t="inlineStr">
        <is>
          <t>Switch (AFM API)</t>
        </is>
      </c>
      <c r="K244" s="21" t="inlineStr">
        <is>
          <t>BKC-26.12 plan</t>
        </is>
      </c>
      <c r="L244" t="inlineStr">
        <is>
          <t>Disruptive</t>
        </is>
      </c>
    </row>
    <row r="245" ht="16" customHeight="1" s="33">
      <c r="A245" s="7" t="inlineStr">
        <is>
          <t>TC-CTL-057</t>
        </is>
      </c>
      <c r="B245" s="7" t="inlineStr">
        <is>
          <t>L3</t>
        </is>
      </c>
      <c r="C245" s="8" t="inlineStr">
        <is>
          <t>Installation process if all the process in bootstrap file is completed, and verify the logs…</t>
        </is>
      </c>
      <c r="D245" t="inlineStr">
        <is>
          <t>No</t>
        </is>
      </c>
      <c r="F245" s="18" t="inlineStr">
        <is>
          <t>NA</t>
        </is>
      </c>
      <c r="H245" t="inlineStr">
        <is>
          <t>[Not automated, 15 Oct 2026] Reason: needs lab equipment / setup (Fresh install / topology import). Needed (from AMD / lab): A rack we may reinstall, the bootstrap file, the topology CSV format and the SONiC VM with bcmsim. (details: docs/amd-inputs.html in helios-tests)</t>
        </is>
      </c>
      <c r="I245" s="21" t="inlineStr">
        <is>
          <t>Switch SSH (fresh AFM install) (est.)</t>
        </is>
      </c>
      <c r="J245" s="21" t="inlineStr">
        <is>
          <t>Switch</t>
        </is>
      </c>
      <c r="K245" s="21" t="inlineStr">
        <is>
          <t>BKC-26.12 plan</t>
        </is>
      </c>
      <c r="L245" t="inlineStr">
        <is>
          <t>Disruptive (est.)</t>
        </is>
      </c>
    </row>
    <row r="246" hidden="1" ht="32" customHeight="1" s="33">
      <c r="A246" s="7" t="inlineStr">
        <is>
          <t>TC-CTL-059</t>
        </is>
      </c>
      <c r="B246" s="7" t="inlineStr">
        <is>
          <t>L3</t>
        </is>
      </c>
      <c r="C246" s="8" t="inlineStr">
        <is>
          <t>DNS Configuration and name resolution from AIFM node</t>
        </is>
      </c>
      <c r="D246" t="inlineStr">
        <is>
          <t>Yes</t>
        </is>
      </c>
      <c r="F246" t="inlineStr">
        <is>
          <t>PASS</t>
        </is>
      </c>
      <c r="G246" t="inlineStr">
        <is>
          <t>SONiC.202505I20260915070938_x100.15; afm-agent/controller 202505I20260915070938_x100.15</t>
        </is>
      </c>
      <c r="H246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46" s="21" t="inlineStr">
        <is>
          <t>Switch SSH</t>
        </is>
      </c>
      <c r="J246" s="21" t="inlineStr">
        <is>
          <t>Switch</t>
        </is>
      </c>
      <c r="K246" s="21" t="inlineStr">
        <is>
          <t>BKC-26.12 plan</t>
        </is>
      </c>
      <c r="L246" t="inlineStr">
        <is>
          <t>Non-disruptive</t>
        </is>
      </c>
    </row>
    <row r="247" hidden="1" ht="16" customHeight="1" s="33">
      <c r="A247" s="7" t="inlineStr">
        <is>
          <t>TC-CTL-060</t>
        </is>
      </c>
      <c r="B247" s="7" t="inlineStr">
        <is>
          <t>L3</t>
        </is>
      </c>
      <c r="C247" s="8" t="inlineStr">
        <is>
          <t>Switch selection criteria for controller bringup</t>
        </is>
      </c>
      <c r="D247" t="inlineStr">
        <is>
          <t>No</t>
        </is>
      </c>
      <c r="F247" t="inlineStr">
        <is>
          <t>NA</t>
        </is>
      </c>
      <c r="H247" t="inlineStr">
        <is>
          <t>[Not automated, 15 Oct 2026] Reason: needs lab equipment / setup (Fresh install / topology import). Needed (from AMD / lab): A rack we may reinstall, the bootstrap file, the topology CSV format and the SONiC VM with bcmsim. (details: docs/amd-inputs.html in helios-tests)</t>
        </is>
      </c>
      <c r="I247" s="21" t="inlineStr">
        <is>
          <t>Switch SSH (fresh AFM install) (est.)</t>
        </is>
      </c>
      <c r="J247" s="21" t="inlineStr">
        <is>
          <t>Switch</t>
        </is>
      </c>
      <c r="K247" s="21" t="inlineStr">
        <is>
          <t>BKC-26.12 plan</t>
        </is>
      </c>
      <c r="L247" t="inlineStr">
        <is>
          <t>Non-disruptive (est.)</t>
        </is>
      </c>
    </row>
    <row r="248" hidden="1" ht="16" customHeight="1" s="33">
      <c r="A248" s="7" t="inlineStr">
        <is>
          <t>TC-CTL-074</t>
        </is>
      </c>
      <c r="B248" s="7" t="inlineStr">
        <is>
          <t>L3</t>
        </is>
      </c>
      <c r="C248" s="8" t="inlineStr">
        <is>
          <t>Stop and start the aifm-controller docker container which is running the leader node</t>
        </is>
      </c>
      <c r="D248" t="inlineStr">
        <is>
          <t>Yes</t>
        </is>
      </c>
      <c r="F248" t="inlineStr">
        <is>
          <t>FAIL</t>
        </is>
      </c>
      <c r="G248" t="inlineStr">
        <is>
          <t>AFM 0.1.0-AICC-817</t>
        </is>
      </c>
      <c r="H248" s="21" t="inlineStr">
        <is>
          <t>[g02-g17 disruptive switch/AFM, 17-18 Oct 2026] no new leader within 180s of stopping 10.255.4.72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48" s="21" t="inlineStr">
        <is>
          <t>AFM API + switch SSH</t>
        </is>
      </c>
      <c r="J248" s="21" t="inlineStr">
        <is>
          <t>Switch</t>
        </is>
      </c>
      <c r="K248" s="21" t="inlineStr">
        <is>
          <t>BKC-26.12 plan</t>
        </is>
      </c>
      <c r="L248" t="inlineStr">
        <is>
          <t>Disruptive</t>
        </is>
      </c>
    </row>
    <row r="249" hidden="1" ht="16" customHeight="1" s="33">
      <c r="A249" s="7" t="inlineStr">
        <is>
          <t>TC-CTL-078</t>
        </is>
      </c>
      <c r="B249" s="7" t="inlineStr">
        <is>
          <t>L3</t>
        </is>
      </c>
      <c r="C249" s="8" t="inlineStr">
        <is>
          <t>Switch firmware upgrade on switch running controller instance</t>
        </is>
      </c>
      <c r="D249" t="inlineStr">
        <is>
          <t>Yes</t>
        </is>
      </c>
      <c r="I249" s="21" t="inlineStr">
        <is>
          <t>upgrade images + AFM API + switch SSH</t>
        </is>
      </c>
      <c r="J249" s="21" t="inlineStr">
        <is>
          <t>Switch</t>
        </is>
      </c>
      <c r="K249" s="21" t="inlineStr">
        <is>
          <t>BKC-26.12 plan</t>
        </is>
      </c>
      <c r="L249" t="inlineStr">
        <is>
          <t>Disruptive</t>
        </is>
      </c>
    </row>
    <row r="250" hidden="1" ht="32" customHeight="1" s="33">
      <c r="A250" s="7" t="inlineStr">
        <is>
          <t>TC-CTL-088</t>
        </is>
      </c>
      <c r="B250" s="7" t="inlineStr">
        <is>
          <t>L3</t>
        </is>
      </c>
      <c r="C250" s="8" t="inlineStr">
        <is>
          <t>API authentication with valid credentials</t>
        </is>
      </c>
      <c r="D250" t="inlineStr">
        <is>
          <t>Yes</t>
        </is>
      </c>
      <c r="F250" t="inlineStr">
        <is>
          <t>PASS</t>
        </is>
      </c>
      <c r="G250" t="inlineStr">
        <is>
          <t>SONiC.202505I20260915070938_x100.15; afm-agent/controller 202505I20260915070938_x100.15</t>
        </is>
      </c>
      <c r="H250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50" s="21" t="inlineStr">
        <is>
          <t>AFM API</t>
        </is>
      </c>
      <c r="J250" s="21" t="inlineStr">
        <is>
          <t>Switch (AFM API)</t>
        </is>
      </c>
      <c r="K250" s="21" t="inlineStr">
        <is>
          <t>BKC-26.12 plan</t>
        </is>
      </c>
      <c r="L250" t="inlineStr">
        <is>
          <t>Non-disruptive</t>
        </is>
      </c>
    </row>
    <row r="251" hidden="1" ht="32" customHeight="1" s="33">
      <c r="A251" s="7" t="inlineStr">
        <is>
          <t>TC-CTL-089</t>
        </is>
      </c>
      <c r="B251" s="7" t="inlineStr">
        <is>
          <t>L3</t>
        </is>
      </c>
      <c r="C251" s="8" t="inlineStr">
        <is>
          <t>API responses for invalid request</t>
        </is>
      </c>
      <c r="D251" t="inlineStr">
        <is>
          <t>Yes</t>
        </is>
      </c>
      <c r="F251" t="inlineStr">
        <is>
          <t>PASS</t>
        </is>
      </c>
      <c r="G251" t="inlineStr">
        <is>
          <t>SONiC.202505I20260915070938_x100.15; afm-agent/controller 202505I20260915070938_x100.15</t>
        </is>
      </c>
      <c r="H251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51" s="21" t="inlineStr">
        <is>
          <t>AFM API</t>
        </is>
      </c>
      <c r="J251" s="21" t="inlineStr">
        <is>
          <t>Switch (AFM API)</t>
        </is>
      </c>
      <c r="K251" s="21" t="inlineStr">
        <is>
          <t>BKC-26.12 plan</t>
        </is>
      </c>
      <c r="L251" t="inlineStr">
        <is>
          <t>Non-disruptive</t>
        </is>
      </c>
    </row>
    <row r="252" hidden="1" ht="80" customHeight="1" s="33">
      <c r="A252" s="7" t="inlineStr">
        <is>
          <t>TC-CTL-090</t>
        </is>
      </c>
      <c r="B252" s="7" t="inlineStr">
        <is>
          <t>L3</t>
        </is>
      </c>
      <c r="C252" s="8" t="inlineStr">
        <is>
          <t>Specs of compute nodes hrough API</t>
        </is>
      </c>
      <c r="D252" t="inlineStr">
        <is>
          <t>Yes</t>
        </is>
      </c>
      <c r="F252" t="inlineStr">
        <is>
          <t>FAIL</t>
        </is>
      </c>
      <c r="G252" t="inlineStr">
        <is>
          <t>SONiC.202505I20260915070938_x100.15; afm-agent/controller 202505I20260915070938_x100.15; ROCm 10.2.0a20260922</t>
        </is>
      </c>
      <c r="H252" s="21" t="inlineStr">
        <is>
          <t>[g02-g17 full rack, rack health check: ran 2026-10-16 05:21 UTC (run g02-g17-20261016-053848), health result g02-g17-20261016-135436-merged] FAIL: pod-1-13-ComputeTray (ct14): 1 GPU ports not PortReady: ['GPU1/p33']; pod-1-15-ComputeTray (ct16): 1 GPU ports not PortReady: ['GPU2/p5']; CT05 (10.255.4.51) unreachable.
Earlier: [g02-g17 full rack, non-disruptive switch + AFM API, 14 Oct 2026] pod-1-1-ComputeTray: conditions [{'type': 'healthy', 'status': 'unknown', 'last-transition-time': '2026-10-13T13:10:46Z', 'reason': 'ComputeNode health update not received since 2026-10-13T13:04:33Z'}]; pod-1-1-ComputeTray GPU2 (270075c1): oper-state Failed; pod-1-1-ComputeTray GPU0 (920075c1): oper-state Failed (helios-tests fullrack-switch-nd-filtered, g02-g17-20261014-092828, g02-g17-20261014-170350, g02-g17-20261014-170910)</t>
        </is>
      </c>
      <c r="I252" s="21" t="inlineStr">
        <is>
          <t>AFM API</t>
        </is>
      </c>
      <c r="J252" s="21" t="inlineStr">
        <is>
          <t>Switch (AFM API)</t>
        </is>
      </c>
      <c r="K252" s="21" t="inlineStr">
        <is>
          <t>BKC-26.12 plan</t>
        </is>
      </c>
      <c r="L252" t="inlineStr">
        <is>
          <t>Non-disruptive</t>
        </is>
      </c>
      <c r="M252" t="inlineStr">
        <is>
          <t>Blocker</t>
        </is>
      </c>
    </row>
    <row r="253" hidden="1" ht="32" customHeight="1" s="33">
      <c r="A253" s="7" t="inlineStr">
        <is>
          <t>TC-CTL-092</t>
        </is>
      </c>
      <c r="B253" s="7" t="inlineStr">
        <is>
          <t>L3</t>
        </is>
      </c>
      <c r="C253" s="8" t="inlineStr">
        <is>
          <t>Pod Spec - (cabling pattern, Rack types, pod types, etc etc.)</t>
        </is>
      </c>
      <c r="D253" t="inlineStr">
        <is>
          <t>Yes</t>
        </is>
      </c>
      <c r="F253" t="inlineStr">
        <is>
          <t>PASS</t>
        </is>
      </c>
      <c r="G253" t="inlineStr">
        <is>
          <t>SONiC.202505I20260915070938_x100.15; afm-agent/controller 202505I20260915070938_x100.15</t>
        </is>
      </c>
      <c r="H253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53" s="21" t="inlineStr">
        <is>
          <t>AFM API</t>
        </is>
      </c>
      <c r="J253" s="21" t="inlineStr">
        <is>
          <t>Switch (AFM API)</t>
        </is>
      </c>
      <c r="K253" s="21" t="inlineStr">
        <is>
          <t>BKC-26.12 plan</t>
        </is>
      </c>
      <c r="L253" t="inlineStr">
        <is>
          <t>Non-disruptive</t>
        </is>
      </c>
    </row>
    <row r="254" hidden="1" ht="32" customHeight="1" s="33">
      <c r="A254" s="7" t="inlineStr">
        <is>
          <t>TC-CTL-093</t>
        </is>
      </c>
      <c r="B254" s="7" t="inlineStr">
        <is>
          <t>L3</t>
        </is>
      </c>
      <c r="C254" s="8" t="inlineStr">
        <is>
          <t>Pod Status - (Deploy ID, Pod ID, Pod state, Vpods (:vpods that have been created on that…</t>
        </is>
      </c>
      <c r="D254" t="inlineStr">
        <is>
          <t>Yes</t>
        </is>
      </c>
      <c r="F254" t="inlineStr">
        <is>
          <t>PASS</t>
        </is>
      </c>
      <c r="G254" t="inlineStr">
        <is>
          <t>SONiC.202505I20260915070938_x100.15; afm-agent/controller 202505I20260915070938_x100.15</t>
        </is>
      </c>
      <c r="H254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54" s="21" t="inlineStr">
        <is>
          <t>AFM API</t>
        </is>
      </c>
      <c r="J254" s="21" t="inlineStr">
        <is>
          <t>Switch (AFM API)</t>
        </is>
      </c>
      <c r="K254" s="21" t="inlineStr">
        <is>
          <t>BKC-26.12 plan</t>
        </is>
      </c>
      <c r="L254" t="inlineStr">
        <is>
          <t>Non-disruptive</t>
        </is>
      </c>
    </row>
    <row r="255" hidden="1" ht="48" customHeight="1" s="33">
      <c r="A255" s="7" t="inlineStr">
        <is>
          <t>TC-CTL-094</t>
        </is>
      </c>
      <c r="B255" s="7" t="inlineStr">
        <is>
          <t>L3</t>
        </is>
      </c>
      <c r="C255" s="8" t="inlineStr">
        <is>
          <t>Vpod Spec - Parent physical pod</t>
        </is>
      </c>
      <c r="D255" t="inlineStr">
        <is>
          <t>Yes</t>
        </is>
      </c>
      <c r="F255" t="inlineStr">
        <is>
          <t>PASS</t>
        </is>
      </c>
      <c r="G255" t="inlineStr">
        <is>
          <t>SONiC.202505I20260915070938_x100.15; afm-agent/controller 202505I20260915070938_x100.15; ROCm 10.2.0a20260922</t>
        </is>
      </c>
      <c r="H255" s="21" t="inlineStr">
        <is>
          <t>[g02-g17 full rack, rack health check: ran 2026-10-15 14:41 UTC (run g02-g17-20261015-151528), health result g02-g17-20261016-135436-merged] PASS.
Earlier: [g02-g17 full rack, non-disruptive switch + AFM API, 14 Oct 2026] pod-1.system: state configurationfailed (helios-tests fullrack-switch-nd-filtered, g02-g17-20261014-092828, g02-g17-20261014-170350, g02-g17-20261014-170910)</t>
        </is>
      </c>
      <c r="I255" s="21" t="inlineStr">
        <is>
          <t>AFM API</t>
        </is>
      </c>
      <c r="J255" s="21" t="inlineStr">
        <is>
          <t>Switch (AFM API)</t>
        </is>
      </c>
      <c r="K255" s="21" t="inlineStr">
        <is>
          <t>BKC-26.12 plan</t>
        </is>
      </c>
      <c r="L255" t="inlineStr">
        <is>
          <t>Non-disruptive</t>
        </is>
      </c>
      <c r="M255" t="inlineStr">
        <is>
          <t>Blocker</t>
        </is>
      </c>
    </row>
    <row r="256" hidden="1" ht="32" customHeight="1" s="33">
      <c r="A256" s="7" t="inlineStr">
        <is>
          <t>TC-CTL-096</t>
        </is>
      </c>
      <c r="B256" s="7" t="inlineStr">
        <is>
          <t>L3</t>
        </is>
      </c>
      <c r="C256" s="8" t="inlineStr">
        <is>
          <t>Creation of objects(VPODS) with conflicting Identifiers should fail</t>
        </is>
      </c>
      <c r="D256" t="inlineStr">
        <is>
          <t>Yes</t>
        </is>
      </c>
      <c r="F256" t="inlineStr">
        <is>
          <t>PASS</t>
        </is>
      </c>
      <c r="G256" t="inlineStr">
        <is>
          <t>SONiC.202505I20260915070938_x100.15; afm-agent/controller 202505I20260915070938_x100.15</t>
        </is>
      </c>
      <c r="H256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56" s="21" t="inlineStr">
        <is>
          <t>AFM API</t>
        </is>
      </c>
      <c r="J256" s="21" t="inlineStr">
        <is>
          <t>Switch (AFM API)</t>
        </is>
      </c>
      <c r="K256" s="21" t="inlineStr">
        <is>
          <t>BKC-26.12 plan</t>
        </is>
      </c>
      <c r="L256" t="inlineStr">
        <is>
          <t>Non-disruptive</t>
        </is>
      </c>
    </row>
    <row r="257" hidden="1" ht="16" customHeight="1" s="33">
      <c r="A257" s="7" t="inlineStr">
        <is>
          <t>TC-CTL-098</t>
        </is>
      </c>
      <c r="B257" s="7" t="inlineStr">
        <is>
          <t>L3</t>
        </is>
      </c>
      <c r="C257" s="8" t="inlineStr">
        <is>
          <t>Alerts are generated with alert policy</t>
        </is>
      </c>
      <c r="D257" t="inlineStr">
        <is>
          <t>Yes</t>
        </is>
      </c>
      <c r="F257" t="inlineStr">
        <is>
          <t>FAIL</t>
        </is>
      </c>
      <c r="G257" t="inlineStr">
        <is>
          <t>AFM 0.1.0-AICC-817</t>
        </is>
      </c>
      <c r="H257" s="21" t="inlineStr">
        <is>
          <t>[g02-g17 disruptive switch/AFM, 17-18 Oct 2026] no alert referencing policy helios-ctl-098-ap-283242247 after a link flap (warn events meanwhile: ['ifoe_netport_link_down', 'ifoe_netport_link_failed', 'link_down', 'link_failed'])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57" s="21" t="inlineStr">
        <is>
          <t>AFM API + switch SSH</t>
        </is>
      </c>
      <c r="J257" s="21" t="inlineStr">
        <is>
          <t>Switch</t>
        </is>
      </c>
      <c r="K257" s="21" t="inlineStr">
        <is>
          <t>BKC-26.12 plan</t>
        </is>
      </c>
      <c r="L257" t="inlineStr">
        <is>
          <t>Disruptive</t>
        </is>
      </c>
    </row>
    <row r="258" hidden="1" ht="32" customHeight="1" s="33">
      <c r="A258" s="7" t="inlineStr">
        <is>
          <t>TC-CTL-101</t>
        </is>
      </c>
      <c r="B258" s="7" t="inlineStr">
        <is>
          <t>L3</t>
        </is>
      </c>
      <c r="C258" s="8" t="inlineStr">
        <is>
          <t>Export Audit Events to External Syslog Server</t>
        </is>
      </c>
      <c r="D258" t="inlineStr">
        <is>
          <t>Yes</t>
        </is>
      </c>
      <c r="F258" t="inlineStr">
        <is>
          <t>Skipped</t>
        </is>
      </c>
      <c r="G258" t="inlineStr">
        <is>
          <t>AFM 0.1.0-AICC-817</t>
        </is>
      </c>
      <c r="H258" s="21" t="inlineStr">
        <is>
          <t>[g02-g17 disruptive switch/AFM, 17-18 Oct 2026] Skipped: afm.syslog not configured (create: {path, body}, check: runner command)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58" s="21" t="inlineStr">
        <is>
          <t>syslog server + AFM API + switch SSH</t>
        </is>
      </c>
      <c r="J258" s="21" t="inlineStr">
        <is>
          <t>Switch (AFM API)</t>
        </is>
      </c>
      <c r="K258" s="21" t="inlineStr">
        <is>
          <t>BKC-26.12 plan</t>
        </is>
      </c>
      <c r="L258" t="inlineStr">
        <is>
          <t>Disruptive</t>
        </is>
      </c>
    </row>
    <row r="259" hidden="1" ht="16" customHeight="1" s="33">
      <c r="A259" s="7" t="inlineStr">
        <is>
          <t>TC-CTL-102</t>
        </is>
      </c>
      <c r="B259" s="7" t="inlineStr">
        <is>
          <t>L3</t>
        </is>
      </c>
      <c r="C259" s="8" t="inlineStr">
        <is>
          <t>NMD rejects admission if the agent does not have a valid controller-coordinates</t>
        </is>
      </c>
      <c r="D259" t="inlineStr">
        <is>
          <t>No</t>
        </is>
      </c>
      <c r="F259" t="inlineStr">
        <is>
          <t>NA</t>
        </is>
      </c>
      <c r="H259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259" s="21" t="inlineStr">
        <is>
          <t>Switch SSH (agent internals) (est.)</t>
        </is>
      </c>
      <c r="J259" s="21" t="inlineStr">
        <is>
          <t>Switch</t>
        </is>
      </c>
      <c r="K259" s="21" t="inlineStr">
        <is>
          <t>BKC-26.12 plan</t>
        </is>
      </c>
      <c r="L259" t="inlineStr">
        <is>
          <t>Non-disruptive (est.)</t>
        </is>
      </c>
    </row>
    <row r="260" hidden="1" ht="16" customHeight="1" s="33">
      <c r="A260" s="7" t="inlineStr">
        <is>
          <t>TC-CTL-103</t>
        </is>
      </c>
      <c r="B260" s="7" t="inlineStr">
        <is>
          <t>L3</t>
        </is>
      </c>
      <c r="C260" s="8" t="inlineStr">
        <is>
          <t>Once admitted, NMD periodically sends heartbeat and system stats</t>
        </is>
      </c>
      <c r="D260" t="inlineStr">
        <is>
          <t>Yes</t>
        </is>
      </c>
      <c r="H260" t="inlineStr">
        <is>
          <t>[Automated, 19 Oct 2026] tests/afm/test_afm_observability.py (read-only; passes on the fake racks, not yet run on a rack)
Earlier: 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260" s="21" t="inlineStr">
        <is>
          <t>Switch SSH (agent internals) (est.)</t>
        </is>
      </c>
      <c r="J260" s="21" t="inlineStr">
        <is>
          <t>Switch</t>
        </is>
      </c>
      <c r="K260" s="21" t="inlineStr">
        <is>
          <t>BKC-26.12 plan</t>
        </is>
      </c>
      <c r="L260" t="inlineStr">
        <is>
          <t>Non-disruptive (est.)</t>
        </is>
      </c>
    </row>
    <row r="261" hidden="1" ht="32" customHeight="1" s="33">
      <c r="A261" s="7" t="inlineStr">
        <is>
          <t>TC-CTL-106</t>
        </is>
      </c>
      <c r="B261" s="7" t="inlineStr">
        <is>
          <t>L3</t>
        </is>
      </c>
      <c r="C261" s="8" t="inlineStr">
        <is>
          <t>The components are arranged neatly and not overlapping</t>
        </is>
      </c>
      <c r="D261" t="inlineStr">
        <is>
          <t>No</t>
        </is>
      </c>
      <c r="F261" t="inlineStr">
        <is>
          <t>NA</t>
        </is>
      </c>
      <c r="H261" t="inlineStr">
        <is>
          <t>[Not automated, 15 Oct 2026] Reason: needs lab equipment / setup (AFM web UI checks). Needed (from AMD / lab): These are manual by nature (layout, tooltips, page-load time, time zone). We plan to run them by hand unless AMD has UI automation. (details: docs/amd-inputs.html in helios-tests)</t>
        </is>
      </c>
      <c r="I261" s="21" t="inlineStr">
        <is>
          <t>Manual (AFM UI)</t>
        </is>
      </c>
      <c r="J261" s="21" t="inlineStr">
        <is>
          <t>Switch (AFM API)</t>
        </is>
      </c>
      <c r="K261" s="21" t="inlineStr">
        <is>
          <t>BKC-26.12 plan</t>
        </is>
      </c>
      <c r="L261" t="inlineStr">
        <is>
          <t>Non-disruptive (est.)</t>
        </is>
      </c>
    </row>
    <row r="262" hidden="1" ht="32" customHeight="1" s="33">
      <c r="A262" s="7" t="inlineStr">
        <is>
          <t>TC-CTL-108</t>
        </is>
      </c>
      <c r="B262" s="7" t="inlineStr">
        <is>
          <t>L3</t>
        </is>
      </c>
      <c r="C262" s="8" t="inlineStr">
        <is>
          <t>Help texts and tooltips are displayed correctly</t>
        </is>
      </c>
      <c r="D262" t="inlineStr">
        <is>
          <t>No</t>
        </is>
      </c>
      <c r="F262" t="inlineStr">
        <is>
          <t>NA</t>
        </is>
      </c>
      <c r="H262" t="inlineStr">
        <is>
          <t>[Not automated, 15 Oct 2026] Reason: needs lab equipment / setup (AFM web UI checks). Needed (from AMD / lab): These are manual by nature (layout, tooltips, page-load time, time zone). We plan to run them by hand unless AMD has UI automation. (details: docs/amd-inputs.html in helios-tests)</t>
        </is>
      </c>
      <c r="I262" s="21" t="inlineStr">
        <is>
          <t>Manual (AFM UI)</t>
        </is>
      </c>
      <c r="J262" s="21" t="inlineStr">
        <is>
          <t>Switch (AFM API)</t>
        </is>
      </c>
      <c r="K262" s="21" t="inlineStr">
        <is>
          <t>BKC-26.12 plan</t>
        </is>
      </c>
      <c r="L262" t="inlineStr">
        <is>
          <t>Non-disruptive (est.)</t>
        </is>
      </c>
    </row>
    <row r="263" hidden="1" ht="32" customHeight="1" s="33">
      <c r="A263" s="7" t="inlineStr">
        <is>
          <t>TC-CTL-109</t>
        </is>
      </c>
      <c r="B263" s="7" t="inlineStr">
        <is>
          <t>L3</t>
        </is>
      </c>
      <c r="C263" s="8" t="inlineStr">
        <is>
          <t>The loading time of differnt pages in the UI, (generally 2sec)</t>
        </is>
      </c>
      <c r="D263" t="inlineStr">
        <is>
          <t>No</t>
        </is>
      </c>
      <c r="F263" t="inlineStr">
        <is>
          <t>NA</t>
        </is>
      </c>
      <c r="H263" t="inlineStr">
        <is>
          <t>[Not automated, 15 Oct 2026] Reason: needs lab equipment / setup (AFM web UI checks). Needed (from AMD / lab): These are manual by nature (layout, tooltips, page-load time, time zone). We plan to run them by hand unless AMD has UI automation. (details: docs/amd-inputs.html in helios-tests)</t>
        </is>
      </c>
      <c r="I263" s="21" t="inlineStr">
        <is>
          <t>Manual (AFM UI)</t>
        </is>
      </c>
      <c r="J263" s="21" t="inlineStr">
        <is>
          <t>Switch (AFM API)</t>
        </is>
      </c>
      <c r="K263" s="21" t="inlineStr">
        <is>
          <t>BKC-26.12 plan</t>
        </is>
      </c>
      <c r="L263" t="inlineStr">
        <is>
          <t>Non-disruptive (est.)</t>
        </is>
      </c>
    </row>
    <row r="264" hidden="1" ht="32" customHeight="1" s="33">
      <c r="A264" s="7" t="inlineStr">
        <is>
          <t>TC-CTL-110</t>
        </is>
      </c>
      <c r="B264" s="7" t="inlineStr">
        <is>
          <t>L3</t>
        </is>
      </c>
      <c r="C264" s="8" t="inlineStr">
        <is>
          <t>The Hide Menu hides the left side bar which is not checked</t>
        </is>
      </c>
      <c r="D264" t="inlineStr">
        <is>
          <t>No</t>
        </is>
      </c>
      <c r="F264" t="inlineStr">
        <is>
          <t>NA</t>
        </is>
      </c>
      <c r="H264" t="inlineStr">
        <is>
          <t>[Not automated, 15 Oct 2026] Reason: needs lab equipment / setup (AFM web UI checks). Needed (from AMD / lab): These are manual by nature (layout, tooltips, page-load time, time zone). We plan to run them by hand unless AMD has UI automation. (details: docs/amd-inputs.html in helios-tests)</t>
        </is>
      </c>
      <c r="I264" s="21" t="inlineStr">
        <is>
          <t>Manual (AFM UI)</t>
        </is>
      </c>
      <c r="J264" s="21" t="inlineStr">
        <is>
          <t>Switch (AFM API)</t>
        </is>
      </c>
      <c r="K264" s="21" t="inlineStr">
        <is>
          <t>BKC-26.12 plan</t>
        </is>
      </c>
      <c r="L264" t="inlineStr">
        <is>
          <t>Non-disruptive (est.)</t>
        </is>
      </c>
    </row>
    <row r="265" hidden="1" ht="32" customHeight="1" s="33">
      <c r="A265" s="7" t="inlineStr">
        <is>
          <t>TC-CTL-111</t>
        </is>
      </c>
      <c r="B265" s="7" t="inlineStr">
        <is>
          <t>L3</t>
        </is>
      </c>
      <c r="C265" s="8" t="inlineStr">
        <is>
          <t>Change if Time Zone changes for the server after applying on UI</t>
        </is>
      </c>
      <c r="D265" t="inlineStr">
        <is>
          <t>No</t>
        </is>
      </c>
      <c r="F265" t="inlineStr">
        <is>
          <t>NA</t>
        </is>
      </c>
      <c r="H265" t="inlineStr">
        <is>
          <t>[Not automated, 15 Oct 2026] Reason: needs lab equipment / setup (AFM web UI checks). Needed (from AMD / lab): These are manual by nature (layout, tooltips, page-load time, time zone). We plan to run them by hand unless AMD has UI automation. (details: docs/amd-inputs.html in helios-tests)</t>
        </is>
      </c>
      <c r="I265" s="21" t="inlineStr">
        <is>
          <t>Manual (AFM UI)</t>
        </is>
      </c>
      <c r="J265" s="21" t="inlineStr">
        <is>
          <t>Switch (AFM API)</t>
        </is>
      </c>
      <c r="K265" s="21" t="inlineStr">
        <is>
          <t>BKC-26.12 plan</t>
        </is>
      </c>
      <c r="L265" t="inlineStr">
        <is>
          <t>Non-disruptive (est.)</t>
        </is>
      </c>
    </row>
    <row r="266" hidden="1" ht="32" customHeight="1" s="33">
      <c r="A266" s="7" t="inlineStr">
        <is>
          <t>TC-CTL-112</t>
        </is>
      </c>
      <c r="B266" s="7" t="inlineStr">
        <is>
          <t>L3</t>
        </is>
      </c>
      <c r="C266" s="8" t="inlineStr">
        <is>
          <t>The horizontal and vertical scaling of compute nodes - in case of techsupport collection</t>
        </is>
      </c>
      <c r="D266" t="inlineStr">
        <is>
          <t>No</t>
        </is>
      </c>
      <c r="F266" t="inlineStr">
        <is>
          <t>NA</t>
        </is>
      </c>
      <c r="H266" t="inlineStr">
        <is>
          <t>[Not automated, 15 Oct 2026] Reason: the plan gives no procedure or pass criteria. Needed (from AMD / lab): Steps and expected results - the plan gives a title only. (details: docs/amd-inputs.html in helios-tests)</t>
        </is>
      </c>
      <c r="I266" s="21" t="inlineStr">
        <is>
          <t>AFM API (est.)</t>
        </is>
      </c>
      <c r="J266" s="21" t="inlineStr">
        <is>
          <t>Switch (AFM API)</t>
        </is>
      </c>
      <c r="K266" s="21" t="inlineStr">
        <is>
          <t>BKC-26.12 plan</t>
        </is>
      </c>
      <c r="L266" t="inlineStr">
        <is>
          <t>Non-disruptive (est.)</t>
        </is>
      </c>
    </row>
    <row r="267" hidden="1" ht="48" customHeight="1" s="33">
      <c r="A267" s="7" t="inlineStr">
        <is>
          <t>TC-CTL-117</t>
        </is>
      </c>
      <c r="B267" s="7" t="inlineStr">
        <is>
          <t>L3</t>
        </is>
      </c>
      <c r="C267" s="8" t="inlineStr">
        <is>
          <t>Create Auth Role as group and attach to a User and verify CRUD Operations on different kind…</t>
        </is>
      </c>
      <c r="D267" t="inlineStr">
        <is>
          <t>Yes</t>
        </is>
      </c>
      <c r="F267" t="inlineStr">
        <is>
          <t>FAIL</t>
        </is>
      </c>
      <c r="G267" t="inlineStr">
        <is>
          <t>SONiC.202505I20260915070938_x100.15; afm-agent/controller 202505I20260915070938_x100.15</t>
        </is>
      </c>
      <c r="H267" s="21" t="inlineStr">
        <is>
          <t>[g02-g17 full rack, non-disruptive switch + AFM API, 14 Oct 2026] read ComputeNode -&gt; HTTP 200, expected 403 (helios-tests fullrack-switch-nd-filtered, g02-g17-20261014-092828, g02-g17-20261014-170350, g02-g17-20261014-170910)</t>
        </is>
      </c>
      <c r="I267" s="21" t="inlineStr">
        <is>
          <t>AFM API</t>
        </is>
      </c>
      <c r="J267" s="21" t="inlineStr">
        <is>
          <t>Switch (AFM API)</t>
        </is>
      </c>
      <c r="K267" s="21" t="inlineStr">
        <is>
          <t>BKC-26.12 plan</t>
        </is>
      </c>
      <c r="L267" t="inlineStr">
        <is>
          <t>Non-disruptive</t>
        </is>
      </c>
    </row>
    <row r="268" hidden="1" ht="32" customHeight="1" s="33">
      <c r="A268" s="7" t="inlineStr">
        <is>
          <t>TC-CTL-119</t>
        </is>
      </c>
      <c r="B268" s="7" t="inlineStr">
        <is>
          <t>L3</t>
        </is>
      </c>
      <c r="C268" s="8" t="inlineStr">
        <is>
          <t>Repeat the above with Radius Authenticator</t>
        </is>
      </c>
      <c r="D268" t="inlineStr">
        <is>
          <t>Yes</t>
        </is>
      </c>
      <c r="F268" t="inlineStr">
        <is>
          <t>Skipped</t>
        </is>
      </c>
      <c r="G268" t="inlineStr">
        <is>
          <t>AFM 0.1.0-AICC-817</t>
        </is>
      </c>
      <c r="H268" s="21" t="inlineStr">
        <is>
          <t>[g02-g17 disruptive switch/AFM, 17-18 Oct 2026] Skipped: afm.radius not configured (authenticator, username, password_env)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68" s="21" t="inlineStr">
        <is>
          <t>RADIUS server + AFM API (disruptive)</t>
        </is>
      </c>
      <c r="J268" s="21" t="inlineStr">
        <is>
          <t>Switch (AFM API)</t>
        </is>
      </c>
      <c r="K268" s="21" t="inlineStr">
        <is>
          <t>BKC-26.12 plan</t>
        </is>
      </c>
      <c r="L268" t="inlineStr">
        <is>
          <t>Disruptive</t>
        </is>
      </c>
    </row>
    <row r="269" hidden="1" ht="32" customHeight="1" s="33">
      <c r="A269" s="7" t="inlineStr">
        <is>
          <t>TC-CTL-121</t>
        </is>
      </c>
      <c r="B269" s="7" t="inlineStr">
        <is>
          <t>L3</t>
        </is>
      </c>
      <c r="C269" s="8" t="inlineStr">
        <is>
          <t>The timezone selected takes effect</t>
        </is>
      </c>
      <c r="D269" t="inlineStr">
        <is>
          <t>No</t>
        </is>
      </c>
      <c r="F269" t="inlineStr">
        <is>
          <t>NA</t>
        </is>
      </c>
      <c r="H269" t="inlineStr">
        <is>
          <t>[Not automated, 15 Oct 2026] Reason: needs lab equipment / setup (AFM web UI checks). Needed (from AMD / lab): These are manual by nature (layout, tooltips, page-load time, time zone). We plan to run them by hand unless AMD has UI automation. (details: docs/amd-inputs.html in helios-tests)</t>
        </is>
      </c>
      <c r="I269" s="21" t="inlineStr">
        <is>
          <t>Manual (AFM UI)</t>
        </is>
      </c>
      <c r="J269" s="21" t="inlineStr">
        <is>
          <t>Switch (AFM API)</t>
        </is>
      </c>
      <c r="K269" s="21" t="inlineStr">
        <is>
          <t>BKC-26.12 plan</t>
        </is>
      </c>
      <c r="L269" t="inlineStr">
        <is>
          <t>Non-disruptive (est.)</t>
        </is>
      </c>
    </row>
    <row r="270" hidden="1" ht="16" customHeight="1" s="33">
      <c r="A270" s="7" t="inlineStr">
        <is>
          <t>TC-CTL-123</t>
        </is>
      </c>
      <c r="B270" s="7" t="inlineStr">
        <is>
          <t>L3</t>
        </is>
      </c>
      <c r="C270" s="8" t="inlineStr">
        <is>
          <t>Logs related to triggers are updating</t>
        </is>
      </c>
      <c r="D270" t="inlineStr">
        <is>
          <t>Yes</t>
        </is>
      </c>
      <c r="H270" t="inlineStr">
        <is>
          <t>[Automated, 19 Oct 2026] tests/afm/test_afm_observability.py (read-only; passes on the fake racks, not yet run on a rack)
Earlier: [Not automated, 15 Oct 2026] Reason: the plan gives no procedure or pass criteria. Needed (from AMD / lab): Steps and expected results - the plan gives a title only. (details: docs/amd-inputs.html in helios-tests)</t>
        </is>
      </c>
      <c r="I270" s="21" t="inlineStr">
        <is>
          <t>Switch SSH (est.)</t>
        </is>
      </c>
      <c r="J270" s="21" t="inlineStr">
        <is>
          <t>Switch</t>
        </is>
      </c>
      <c r="K270" s="21" t="inlineStr">
        <is>
          <t>BKC-26.12 plan</t>
        </is>
      </c>
      <c r="L270" t="inlineStr">
        <is>
          <t>Non-disruptive (est.)</t>
        </is>
      </c>
    </row>
    <row r="271" hidden="1" ht="16" customHeight="1" s="33">
      <c r="A271" s="7" t="inlineStr">
        <is>
          <t>TC-CTL-124</t>
        </is>
      </c>
      <c r="B271" s="7" t="inlineStr">
        <is>
          <t>L3</t>
        </is>
      </c>
      <c r="C271" s="8" t="inlineStr">
        <is>
          <t>The logs are generated after docker restart or stop</t>
        </is>
      </c>
      <c r="D271" t="inlineStr">
        <is>
          <t>Yes</t>
        </is>
      </c>
      <c r="F271" t="inlineStr">
        <is>
          <t>PARTIAL</t>
        </is>
      </c>
      <c r="G271" t="inlineStr">
        <is>
          <t>AFM 0.1.0-AICC-817</t>
        </is>
      </c>
      <c r="H271" s="21" t="inlineStr">
        <is>
          <t>[g02-g17 disruptive switch/AFM, 17-18 Oct 2026] passed without the quarantined node(s): ct05 (Down)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71" s="21" t="inlineStr">
        <is>
          <t>AFM API + switch SSH</t>
        </is>
      </c>
      <c r="J271" s="21" t="inlineStr">
        <is>
          <t>Switch</t>
        </is>
      </c>
      <c r="K271" s="21" t="inlineStr">
        <is>
          <t>BKC-26.12 plan</t>
        </is>
      </c>
      <c r="L271" t="inlineStr">
        <is>
          <t>Disruptive</t>
        </is>
      </c>
    </row>
    <row r="272" hidden="1" ht="16" customHeight="1" s="33">
      <c r="A272" s="7" t="inlineStr">
        <is>
          <t>TC-CTL-127</t>
        </is>
      </c>
      <c r="B272" s="7" t="inlineStr">
        <is>
          <t>L3</t>
        </is>
      </c>
      <c r="C272" s="8" t="inlineStr">
        <is>
          <t>The cluster move without bringing down the aifm-controller and just switch to a new sonic…</t>
        </is>
      </c>
      <c r="D272" t="inlineStr">
        <is>
          <t>Yes</t>
        </is>
      </c>
      <c r="I272" s="21" t="inlineStr">
        <is>
          <t>upgrade images + AFM API + switch SSH</t>
        </is>
      </c>
      <c r="J272" s="21" t="inlineStr">
        <is>
          <t>Switch</t>
        </is>
      </c>
      <c r="K272" s="21" t="inlineStr">
        <is>
          <t>BKC-26.12 plan</t>
        </is>
      </c>
      <c r="L272" t="inlineStr">
        <is>
          <t>Disruptive</t>
        </is>
      </c>
    </row>
    <row r="273" hidden="1" ht="16" customHeight="1" s="33">
      <c r="A273" s="7" t="inlineStr">
        <is>
          <t>TC-CTL-128</t>
        </is>
      </c>
      <c r="B273" s="7" t="inlineStr">
        <is>
          <t>L3</t>
        </is>
      </c>
      <c r="C273" s="8" t="inlineStr">
        <is>
          <t>Custom certificate and private key can be uploaded successfully</t>
        </is>
      </c>
      <c r="D273" t="inlineStr">
        <is>
          <t>No</t>
        </is>
      </c>
      <c r="F273" t="inlineStr">
        <is>
          <t>NA</t>
        </is>
      </c>
      <c r="H273" t="inlineStr">
        <is>
          <t>[Not automated, 15 Oct 2026] Reason: needs lab equipment / setup (Certificates / PKI). Needed (from AMD / lab): The procedure and test CA to upload a custom controller certificate, and to present an untrusted client certificate. (details: docs/amd-inputs.html in helios-tests)</t>
        </is>
      </c>
      <c r="I273" s="21" t="inlineStr">
        <is>
          <t>Switch SSH + certificates/PKI (est.)</t>
        </is>
      </c>
      <c r="J273" s="21" t="inlineStr">
        <is>
          <t>Switch</t>
        </is>
      </c>
      <c r="K273" s="21" t="inlineStr">
        <is>
          <t>BKC-26.12 plan</t>
        </is>
      </c>
      <c r="L273" t="inlineStr">
        <is>
          <t>Non-disruptive (est.)</t>
        </is>
      </c>
    </row>
    <row r="274" hidden="1" ht="16" customHeight="1" s="33">
      <c r="A274" s="7" t="inlineStr">
        <is>
          <t>TC-CTL-129</t>
        </is>
      </c>
      <c r="B274" s="7" t="inlineStr">
        <is>
          <t>L3</t>
        </is>
      </c>
      <c r="C274" s="8" t="inlineStr">
        <is>
          <t>Same certificate is deployed across all controller nodes</t>
        </is>
      </c>
      <c r="D274" t="inlineStr">
        <is>
          <t>Yes</t>
        </is>
      </c>
      <c r="H274" t="inlineStr">
        <is>
          <t>[Automated, 19 Oct 2026] tests/afm/test_afm_observability.py (read-only; passes on the fake racks, not yet run on a rack)
Earlier: [Not automated, 15 Oct 2026] Reason: needs lab equipment / setup (Certificates / PKI). Needed (from AMD / lab): The procedure and test CA to upload a custom controller certificate, and to present an untrusted client certificate. (details: docs/amd-inputs.html in helios-tests)</t>
        </is>
      </c>
      <c r="I274" s="21" t="inlineStr">
        <is>
          <t>Switch SSH + certificates/PKI (est.)</t>
        </is>
      </c>
      <c r="J274" s="21" t="inlineStr">
        <is>
          <t>Switch</t>
        </is>
      </c>
      <c r="K274" s="21" t="inlineStr">
        <is>
          <t>BKC-26.12 plan</t>
        </is>
      </c>
      <c r="L274" t="inlineStr">
        <is>
          <t>Non-disruptive (est.)</t>
        </is>
      </c>
    </row>
    <row r="275" hidden="1" ht="16" customHeight="1" s="33">
      <c r="A275" s="7" t="inlineStr">
        <is>
          <t>TC-CTL-130</t>
        </is>
      </c>
      <c r="B275" s="7" t="inlineStr">
        <is>
          <t>L3</t>
        </is>
      </c>
      <c r="C275" s="8" t="inlineStr">
        <is>
          <t>Authentication fails when client certificate is not signed by trusted CA</t>
        </is>
      </c>
      <c r="D275" t="inlineStr">
        <is>
          <t>No</t>
        </is>
      </c>
      <c r="F275" t="inlineStr">
        <is>
          <t>NA</t>
        </is>
      </c>
      <c r="H275" t="inlineStr">
        <is>
          <t>[Not automated, 15 Oct 2026] Reason: needs lab equipment / setup (Certificates / PKI). Needed (from AMD / lab): The procedure and test CA to upload a custom controller certificate, and to present an untrusted client certificate. (details: docs/amd-inputs.html in helios-tests)</t>
        </is>
      </c>
      <c r="I275" s="21" t="inlineStr">
        <is>
          <t>Switch SSH + certificates/PKI (est.)</t>
        </is>
      </c>
      <c r="J275" s="21" t="inlineStr">
        <is>
          <t>Switch</t>
        </is>
      </c>
      <c r="K275" s="21" t="inlineStr">
        <is>
          <t>BKC-26.12 plan</t>
        </is>
      </c>
      <c r="L275" t="inlineStr">
        <is>
          <t>Non-disruptive (est.)</t>
        </is>
      </c>
    </row>
    <row r="276" hidden="1" ht="32" customHeight="1" s="33">
      <c r="A276" s="7" t="inlineStr">
        <is>
          <t>TC-CTL-131</t>
        </is>
      </c>
      <c r="B276" s="7" t="inlineStr">
        <is>
          <t>L3</t>
        </is>
      </c>
      <c r="C276" s="8" t="inlineStr">
        <is>
          <t>Client can authenticate using valid username and password</t>
        </is>
      </c>
      <c r="D276" t="inlineStr">
        <is>
          <t>Yes</t>
        </is>
      </c>
      <c r="F276" t="inlineStr">
        <is>
          <t>PASS</t>
        </is>
      </c>
      <c r="G276" t="inlineStr">
        <is>
          <t>SONiC.202505I20260915070938_x100.15; afm-agent/controller 202505I20260915070938_x100.15</t>
        </is>
      </c>
      <c r="H276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76" s="21" t="inlineStr">
        <is>
          <t>AFM API</t>
        </is>
      </c>
      <c r="J276" s="21" t="inlineStr">
        <is>
          <t>Switch (AFM API)</t>
        </is>
      </c>
      <c r="K276" s="21" t="inlineStr">
        <is>
          <t>BKC-26.12 plan</t>
        </is>
      </c>
      <c r="L276" t="inlineStr">
        <is>
          <t>Non-disruptive</t>
        </is>
      </c>
    </row>
    <row r="277" hidden="1" ht="16" customHeight="1" s="33">
      <c r="A277" s="7" t="inlineStr">
        <is>
          <t>TC-CTL-133</t>
        </is>
      </c>
      <c r="B277" s="7" t="inlineStr">
        <is>
          <t>L3</t>
        </is>
      </c>
      <c r="C277" s="8" t="inlineStr">
        <is>
          <t>Cluster tolerates single node failure and continues operation</t>
        </is>
      </c>
      <c r="D277" t="inlineStr">
        <is>
          <t>Yes</t>
        </is>
      </c>
      <c r="F277" t="inlineStr">
        <is>
          <t>PARTIAL</t>
        </is>
      </c>
      <c r="G277" t="inlineStr">
        <is>
          <t>AFM 0.1.0-AICC-817</t>
        </is>
      </c>
      <c r="H277" s="21" t="inlineStr">
        <is>
          <t>[g02-g17 disruptive switch/AFM, 17-18 Oct 2026] passed without the quarantined node(s): ct05 (Down)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77" s="21" t="inlineStr">
        <is>
          <t>AFM API + switch SSH</t>
        </is>
      </c>
      <c r="J277" s="21" t="inlineStr">
        <is>
          <t>Switch</t>
        </is>
      </c>
      <c r="K277" s="21" t="inlineStr">
        <is>
          <t>BKC-26.12 plan</t>
        </is>
      </c>
      <c r="L277" t="inlineStr">
        <is>
          <t>Disruptive</t>
        </is>
      </c>
    </row>
    <row r="278" hidden="1" ht="16" customHeight="1" s="33">
      <c r="A278" s="7" t="inlineStr">
        <is>
          <t>TC-CTL-134</t>
        </is>
      </c>
      <c r="B278" s="7" t="inlineStr">
        <is>
          <t>L3</t>
        </is>
      </c>
      <c r="C278" s="8" t="inlineStr">
        <is>
          <t>Failed node can rejoin cluster after recovery</t>
        </is>
      </c>
      <c r="D278" t="inlineStr">
        <is>
          <t>Yes</t>
        </is>
      </c>
      <c r="F278" t="inlineStr">
        <is>
          <t>PARTIAL</t>
        </is>
      </c>
      <c r="G278" t="inlineStr">
        <is>
          <t>AFM 0.1.0-AICC-817</t>
        </is>
      </c>
      <c r="H278" s="21" t="inlineStr">
        <is>
          <t>[g02-g17 disruptive switch/AFM, 17-18 Oct 2026] passed without the quarantined node(s): ct05 (Down)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278" s="21" t="inlineStr">
        <is>
          <t>AFM API + switch SSH</t>
        </is>
      </c>
      <c r="J278" s="21" t="inlineStr">
        <is>
          <t>Switch</t>
        </is>
      </c>
      <c r="K278" s="21" t="inlineStr">
        <is>
          <t>BKC-26.12 plan</t>
        </is>
      </c>
      <c r="L278" t="inlineStr">
        <is>
          <t>Disruptive</t>
        </is>
      </c>
    </row>
    <row r="279" hidden="1" ht="16" customHeight="1" s="33">
      <c r="A279" s="7" t="inlineStr">
        <is>
          <t>TC-CTL-135</t>
        </is>
      </c>
      <c r="B279" s="7" t="inlineStr">
        <is>
          <t>L3</t>
        </is>
      </c>
      <c r="C279" s="8" t="inlineStr">
        <is>
          <t>Mutual TLS connection is established between controllers</t>
        </is>
      </c>
      <c r="D279" t="inlineStr">
        <is>
          <t>No</t>
        </is>
      </c>
      <c r="F279" t="inlineStr">
        <is>
          <t>NA</t>
        </is>
      </c>
      <c r="H279" t="inlineStr">
        <is>
          <t>[Not automated, 15 Oct 2026] Reason: needs lab equipment / setup (Certificates / PKI). Needed (from AMD / lab): The procedure and test CA to upload a custom controller certificate, and to present an untrusted client certificate. (details: docs/amd-inputs.html in helios-tests)</t>
        </is>
      </c>
      <c r="I279" s="21" t="inlineStr">
        <is>
          <t>Switch SSH + certificates/PKI (est.)</t>
        </is>
      </c>
      <c r="J279" s="21" t="inlineStr">
        <is>
          <t>Switch</t>
        </is>
      </c>
      <c r="K279" s="21" t="inlineStr">
        <is>
          <t>BKC-26.12 plan</t>
        </is>
      </c>
      <c r="L279" t="inlineStr">
        <is>
          <t>Non-disruptive (est.)</t>
        </is>
      </c>
    </row>
    <row r="280" hidden="1" ht="16" customHeight="1" s="33">
      <c r="A280" s="7" t="inlineStr">
        <is>
          <t>TC-CTL-136</t>
        </is>
      </c>
      <c r="B280" s="7" t="inlineStr">
        <is>
          <t>L3</t>
        </is>
      </c>
      <c r="C280" s="8" t="inlineStr">
        <is>
          <t>Switch agent completes admission and receives signed certificate</t>
        </is>
      </c>
      <c r="D280" t="inlineStr">
        <is>
          <t>Yes</t>
        </is>
      </c>
      <c r="H280" t="inlineStr">
        <is>
          <t>[Automated, 19 Oct 2026] tests/afm/test_afm_observability.py (read-only; passes on the fake racks, not yet run on a rack)
Earlier: [Not automated, 15 Oct 2026] Reason: needs lab equipment / setup (Certificates / PKI). Needed (from AMD / lab): The procedure and test CA to upload a custom controller certificate, and to present an untrusted client certificate. (details: docs/amd-inputs.html in helios-tests)</t>
        </is>
      </c>
      <c r="I280" s="21" t="inlineStr">
        <is>
          <t>Switch SSH + certificates/PKI (est.)</t>
        </is>
      </c>
      <c r="J280" s="21" t="inlineStr">
        <is>
          <t>Switch</t>
        </is>
      </c>
      <c r="K280" s="21" t="inlineStr">
        <is>
          <t>BKC-26.12 plan</t>
        </is>
      </c>
      <c r="L280" t="inlineStr">
        <is>
          <t>Non-disruptive (est.)</t>
        </is>
      </c>
    </row>
    <row r="281" hidden="1" ht="16" customHeight="1" s="33">
      <c r="A281" s="7" t="inlineStr">
        <is>
          <t>TC-CTL-137</t>
        </is>
      </c>
      <c r="B281" s="7" t="inlineStr">
        <is>
          <t>L3</t>
        </is>
      </c>
      <c r="C281" s="8" t="inlineStr">
        <is>
          <t>SPDM session is established between switch and GPU and communication is encrypted</t>
        </is>
      </c>
      <c r="D281" t="inlineStr">
        <is>
          <t>No</t>
        </is>
      </c>
      <c r="F281" t="inlineStr">
        <is>
          <t>NA</t>
        </is>
      </c>
      <c r="H281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281" s="21" t="inlineStr">
        <is>
          <t>Switch SSH + certificates/PKI (est.)</t>
        </is>
      </c>
      <c r="J281" s="21" t="inlineStr">
        <is>
          <t>Switch</t>
        </is>
      </c>
      <c r="K281" s="21" t="inlineStr">
        <is>
          <t>BKC-26.12 plan</t>
        </is>
      </c>
      <c r="L281" t="inlineStr">
        <is>
          <t>Non-disruptive (est.)</t>
        </is>
      </c>
    </row>
    <row r="282" hidden="1" ht="16" customHeight="1" s="33">
      <c r="A282" s="7" t="inlineStr">
        <is>
          <t>TC-CTL-139</t>
        </is>
      </c>
      <c r="B282" s="7" t="inlineStr">
        <is>
          <t>L3</t>
        </is>
      </c>
      <c r="C282" s="8" t="inlineStr">
        <is>
          <t>Do docker-run to start amd-metrics-exporter container and verify port 5000 binding</t>
        </is>
      </c>
      <c r="D282" t="inlineStr">
        <is>
          <t>Yes</t>
        </is>
      </c>
      <c r="F282" t="inlineStr">
        <is>
          <t>Pending</t>
        </is>
      </c>
      <c r="G282" t="inlineStr">
        <is>
          <t>SONiC.202505I20260915070938_x100.15; afm-agent/controller 202505I20260915070938_x100.15; ROCm 10.2.0a20260922</t>
        </is>
      </c>
      <c r="H282" t="inlineStr">
        <is>
          <t xml:space="preserve">[g02-g17 full rack, non-disruptive compute / switch+compute, 14 Oct 2026 19:34-19:47 UTC, helios-tests g02-g17-20261014-194703 (jump host)] Pending (environment): the AMD device-metrics-exporter is not running on any tray (port 5000 refused; no run command configured), so the metrics cannot be scraped. </t>
        </is>
      </c>
      <c r="I282" s="21" t="inlineStr">
        <is>
          <t>Compute SSH</t>
        </is>
      </c>
      <c r="J282" s="21" t="inlineStr">
        <is>
          <t>Compute</t>
        </is>
      </c>
      <c r="K282" s="21" t="inlineStr">
        <is>
          <t>BKC-26.12 plan</t>
        </is>
      </c>
      <c r="L282" t="inlineStr">
        <is>
          <t>Non-disruptive</t>
        </is>
      </c>
    </row>
    <row r="283" hidden="1" ht="16" customHeight="1" s="33">
      <c r="A283" s="7" t="inlineStr">
        <is>
          <t>TC-CTL-140</t>
        </is>
      </c>
      <c r="B283" s="7" t="inlineStr">
        <is>
          <t>L3</t>
        </is>
      </c>
      <c r="C283" s="8" t="inlineStr">
        <is>
          <t>HTTP 200 on metrics, Prometheus format headers</t>
        </is>
      </c>
      <c r="D283" t="inlineStr">
        <is>
          <t>Yes</t>
        </is>
      </c>
      <c r="F283" t="inlineStr">
        <is>
          <t>Pending</t>
        </is>
      </c>
      <c r="G283" t="inlineStr">
        <is>
          <t>SONiC.202505I20260915070938_x100.15; afm-agent/controller 202505I20260915070938_x100.15; ROCm 10.2.0a20260922</t>
        </is>
      </c>
      <c r="H283" t="inlineStr">
        <is>
          <t xml:space="preserve">[g02-g17 full rack, non-disruptive compute / switch+compute, 14 Oct 2026 19:34-19:47 UTC, helios-tests g02-g17-20261014-194703 (jump host)] Pending (environment): the AMD device-metrics-exporter is not running on any tray (port 5000 refused; no run command configured), so the metrics cannot be scraped. </t>
        </is>
      </c>
      <c r="I283" s="21" t="inlineStr">
        <is>
          <t>Compute SSH</t>
        </is>
      </c>
      <c r="J283" s="21" t="inlineStr">
        <is>
          <t>Compute</t>
        </is>
      </c>
      <c r="K283" s="21" t="inlineStr">
        <is>
          <t>BKC-26.12 plan</t>
        </is>
      </c>
      <c r="L283" t="inlineStr">
        <is>
          <t>Non-disruptive</t>
        </is>
      </c>
    </row>
    <row r="284" hidden="1" ht="16" customHeight="1" s="33">
      <c r="A284" s="7" t="inlineStr">
        <is>
          <t>TC-CTL-141</t>
        </is>
      </c>
      <c r="B284" s="7" t="inlineStr">
        <is>
          <t>L3</t>
        </is>
      </c>
      <c r="C284" s="8" t="inlineStr">
        <is>
          <t>Metrics for GPU power, temperature, utilization metrics for all GPUs</t>
        </is>
      </c>
      <c r="D284" t="inlineStr">
        <is>
          <t>Yes</t>
        </is>
      </c>
      <c r="F284" t="inlineStr">
        <is>
          <t>Pending</t>
        </is>
      </c>
      <c r="G284" t="inlineStr">
        <is>
          <t>SONiC.202505I20260915070938_x100.15; afm-agent/controller 202505I20260915070938_x100.15; ROCm 10.2.0a20260922</t>
        </is>
      </c>
      <c r="H284" t="inlineStr">
        <is>
          <t xml:space="preserve">[g02-g17 full rack, non-disruptive compute / switch+compute, 14 Oct 2026 19:34-19:47 UTC, helios-tests g02-g17-20261014-194703 (jump host)] Pending (environment): the AMD device-metrics-exporter is not running on any tray (port 5000 refused; no run command configured), so the metrics cannot be scraped. </t>
        </is>
      </c>
      <c r="I284" s="21" t="inlineStr">
        <is>
          <t>Compute SSH</t>
        </is>
      </c>
      <c r="J284" s="21" t="inlineStr">
        <is>
          <t>Compute</t>
        </is>
      </c>
      <c r="K284" s="21" t="inlineStr">
        <is>
          <t>BKC-26.12 plan</t>
        </is>
      </c>
      <c r="L284" t="inlineStr">
        <is>
          <t>Non-disruptive</t>
        </is>
      </c>
    </row>
    <row r="285" hidden="1" ht="16" customHeight="1" s="33">
      <c r="A285" s="7" t="inlineStr">
        <is>
          <t>TC-CTL-142</t>
        </is>
      </c>
      <c r="B285" s="7" t="inlineStr">
        <is>
          <t>L3</t>
        </is>
      </c>
      <c r="C285" s="8" t="inlineStr">
        <is>
          <t>Metrics for VRAM total/used/free present</t>
        </is>
      </c>
      <c r="D285" t="inlineStr">
        <is>
          <t>Yes</t>
        </is>
      </c>
      <c r="F285" t="inlineStr">
        <is>
          <t>Pending</t>
        </is>
      </c>
      <c r="G285" t="inlineStr">
        <is>
          <t>SONiC.202505I20260915070938_x100.15; afm-agent/controller 202505I20260915070938_x100.15; ROCm 10.2.0a20260922</t>
        </is>
      </c>
      <c r="H285" t="inlineStr">
        <is>
          <t xml:space="preserve">[g02-g17 full rack, non-disruptive compute / switch+compute, 14 Oct 2026 19:34-19:47 UTC, helios-tests g02-g17-20261014-194703 (jump host)] Pending (environment): the AMD device-metrics-exporter is not running on any tray (port 5000 refused; no run command configured), so the metrics cannot be scraped. </t>
        </is>
      </c>
      <c r="I285" s="21" t="inlineStr">
        <is>
          <t>Compute SSH</t>
        </is>
      </c>
      <c r="J285" s="21" t="inlineStr">
        <is>
          <t>Compute</t>
        </is>
      </c>
      <c r="K285" s="21" t="inlineStr">
        <is>
          <t>BKC-26.12 plan</t>
        </is>
      </c>
      <c r="L285" t="inlineStr">
        <is>
          <t>Non-disruptive</t>
        </is>
      </c>
    </row>
    <row r="286" hidden="1" ht="16" customHeight="1" s="33">
      <c r="A286" s="7" t="inlineStr">
        <is>
          <t>TC-CTL-143</t>
        </is>
      </c>
      <c r="B286" s="7" t="inlineStr">
        <is>
          <t>L3</t>
        </is>
      </c>
      <c r="C286" s="8" t="inlineStr">
        <is>
          <t>Metrics for Aggregate and per-block ECC error counters</t>
        </is>
      </c>
      <c r="D286" t="inlineStr">
        <is>
          <t>Yes</t>
        </is>
      </c>
      <c r="F286" t="inlineStr">
        <is>
          <t>Pending</t>
        </is>
      </c>
      <c r="G286" t="inlineStr">
        <is>
          <t>SONiC.202505I20260915070938_x100.15; afm-agent/controller 202505I20260915070938_x100.15; ROCm 10.2.0a20260922</t>
        </is>
      </c>
      <c r="H286" t="inlineStr">
        <is>
          <t xml:space="preserve">[g02-g17 full rack, non-disruptive compute / switch+compute, 14 Oct 2026 19:34-19:47 UTC, helios-tests g02-g17-20261014-194703 (jump host)] Pending (environment): the AMD device-metrics-exporter is not running on any tray (port 5000 refused; no run command configured), so the metrics cannot be scraped. </t>
        </is>
      </c>
      <c r="I286" s="21" t="inlineStr">
        <is>
          <t>Compute SSH</t>
        </is>
      </c>
      <c r="J286" s="21" t="inlineStr">
        <is>
          <t>Compute</t>
        </is>
      </c>
      <c r="K286" s="21" t="inlineStr">
        <is>
          <t>BKC-26.12 plan</t>
        </is>
      </c>
      <c r="L286" t="inlineStr">
        <is>
          <t>Non-disruptive</t>
        </is>
      </c>
    </row>
    <row r="287" hidden="1" ht="16" customHeight="1" s="33">
      <c r="A287" s="7" t="inlineStr">
        <is>
          <t>TC-CTL-144</t>
        </is>
      </c>
      <c r="B287" s="7" t="inlineStr">
        <is>
          <t>L3</t>
        </is>
      </c>
      <c r="C287" s="8" t="inlineStr">
        <is>
          <t>Metrics for PCIe bandwidth, speed, width, error counters</t>
        </is>
      </c>
      <c r="D287" t="inlineStr">
        <is>
          <t>Yes</t>
        </is>
      </c>
      <c r="F287" t="inlineStr">
        <is>
          <t>Pending</t>
        </is>
      </c>
      <c r="G287" t="inlineStr">
        <is>
          <t>SONiC.202505I20260915070938_x100.15; afm-agent/controller 202505I20260915070938_x100.15; ROCm 10.2.0a20260922</t>
        </is>
      </c>
      <c r="H287" t="inlineStr">
        <is>
          <t xml:space="preserve">[g02-g17 full rack, non-disruptive compute / switch+compute, 14 Oct 2026 19:34-19:47 UTC, helios-tests g02-g17-20261014-194703 (jump host)] Pending (environment): the AMD device-metrics-exporter is not running on any tray (port 5000 refused; no run command configured), so the metrics cannot be scraped. </t>
        </is>
      </c>
      <c r="I287" s="21" t="inlineStr">
        <is>
          <t>Compute SSH</t>
        </is>
      </c>
      <c r="J287" s="21" t="inlineStr">
        <is>
          <t>Compute</t>
        </is>
      </c>
      <c r="K287" s="21" t="inlineStr">
        <is>
          <t>BKC-26.12 plan</t>
        </is>
      </c>
      <c r="L287" t="inlineStr">
        <is>
          <t>Non-disruptive</t>
        </is>
      </c>
    </row>
    <row r="288" hidden="1" ht="16" customHeight="1" s="33">
      <c r="A288" s="7" t="inlineStr">
        <is>
          <t>TC-CTL-145</t>
        </is>
      </c>
      <c r="B288" s="7" t="inlineStr">
        <is>
          <t>L3</t>
        </is>
      </c>
      <c r="C288" s="8" t="inlineStr">
        <is>
          <t>Metrics for XGMI inter-GPU throughput and beat counters</t>
        </is>
      </c>
      <c r="D288" t="inlineStr">
        <is>
          <t>Yes</t>
        </is>
      </c>
      <c r="F288" t="inlineStr">
        <is>
          <t>Pending</t>
        </is>
      </c>
      <c r="G288" t="inlineStr">
        <is>
          <t>SONiC.202505I20260915070938_x100.15; afm-agent/controller 202505I20260915070938_x100.15; ROCm 10.2.0a20260922</t>
        </is>
      </c>
      <c r="H288" t="inlineStr">
        <is>
          <t xml:space="preserve">[g02-g17 full rack, non-disruptive compute / switch+compute, 14 Oct 2026 19:34-19:47 UTC, helios-tests g02-g17-20261014-194703 (jump host)] Pending (environment): the AMD device-metrics-exporter is not running on any tray (port 5000 refused; no run command configured), so the metrics cannot be scraped. </t>
        </is>
      </c>
      <c r="I288" s="21" t="inlineStr">
        <is>
          <t>Compute SSH</t>
        </is>
      </c>
      <c r="J288" s="21" t="inlineStr">
        <is>
          <t>Compute</t>
        </is>
      </c>
      <c r="K288" s="21" t="inlineStr">
        <is>
          <t>BKC-26.12 plan</t>
        </is>
      </c>
      <c r="L288" t="inlineStr">
        <is>
          <t>Non-disruptive</t>
        </is>
      </c>
    </row>
    <row r="289" hidden="1" ht="16" customHeight="1" s="33">
      <c r="A289" s="7" t="inlineStr">
        <is>
          <t>TC-CTL-146</t>
        </is>
      </c>
      <c r="B289" s="7" t="inlineStr">
        <is>
          <t>L3</t>
        </is>
      </c>
      <c r="C289" s="8" t="inlineStr">
        <is>
          <t>Metrics for NIC/Ethernet frame/byte counters, port/LIF stats</t>
        </is>
      </c>
      <c r="D289" t="inlineStr">
        <is>
          <t>Yes</t>
        </is>
      </c>
      <c r="F289" t="inlineStr">
        <is>
          <t>Pending</t>
        </is>
      </c>
      <c r="G289" t="inlineStr">
        <is>
          <t>SONiC.202505I20260915070938_x100.15; afm-agent/controller 202505I20260915070938_x100.15; ROCm 10.2.0a20260922</t>
        </is>
      </c>
      <c r="H289" t="inlineStr">
        <is>
          <t xml:space="preserve">[g02-g17 full rack, non-disruptive compute / switch+compute, 14 Oct 2026 19:34-19:47 UTC, helios-tests g02-g17-20261014-194703 (jump host)] Pending (environment): the AMD device-metrics-exporter is not running on any tray (port 5000 refused; no run command configured), so the metrics cannot be scraped. </t>
        </is>
      </c>
      <c r="I289" s="21" t="inlineStr">
        <is>
          <t>Compute SSH</t>
        </is>
      </c>
      <c r="J289" s="21" t="inlineStr">
        <is>
          <t>Compute</t>
        </is>
      </c>
      <c r="K289" s="21" t="inlineStr">
        <is>
          <t>BKC-26.12 plan</t>
        </is>
      </c>
      <c r="L289" t="inlineStr">
        <is>
          <t>Non-disruptive</t>
        </is>
      </c>
    </row>
    <row r="290" hidden="1" ht="16" customHeight="1" s="33">
      <c r="A290" s="7" t="inlineStr">
        <is>
          <t>TC-CTL-147</t>
        </is>
      </c>
      <c r="B290" s="7" t="inlineStr">
        <is>
          <t>L3</t>
        </is>
      </c>
      <c r="C290" s="8" t="inlineStr">
        <is>
          <t>Metrics for RDMA req/resp counters, CNP/ECN, QP stats</t>
        </is>
      </c>
      <c r="D290" t="inlineStr">
        <is>
          <t>Yes</t>
        </is>
      </c>
      <c r="F290" t="inlineStr">
        <is>
          <t>Pending</t>
        </is>
      </c>
      <c r="G290" t="inlineStr">
        <is>
          <t>SONiC.202505I20260915070938_x100.15; afm-agent/controller 202505I20260915070938_x100.15; ROCm 10.2.0a20260922</t>
        </is>
      </c>
      <c r="H290" t="inlineStr">
        <is>
          <t xml:space="preserve">[g02-g17 full rack, non-disruptive compute / switch+compute, 14 Oct 2026 19:34-19:47 UTC, helios-tests g02-g17-20261014-194703 (jump host)] Pending (environment): the AMD device-metrics-exporter is not running on any tray (port 5000 refused; no run command configured), so the metrics cannot be scraped. </t>
        </is>
      </c>
      <c r="I290" s="21" t="inlineStr">
        <is>
          <t>Compute SSH</t>
        </is>
      </c>
      <c r="J290" s="21" t="inlineStr">
        <is>
          <t>Compute</t>
        </is>
      </c>
      <c r="K290" s="21" t="inlineStr">
        <is>
          <t>BKC-26.12 plan</t>
        </is>
      </c>
      <c r="L290" t="inlineStr">
        <is>
          <t>Non-disruptive</t>
        </is>
      </c>
    </row>
    <row r="291" hidden="1" ht="16" customHeight="1" s="33">
      <c r="A291" s="7" t="inlineStr">
        <is>
          <t>TC-CTL-148</t>
        </is>
      </c>
      <c r="B291" s="7" t="inlineStr">
        <is>
          <t>L3</t>
        </is>
      </c>
      <c r="C291" s="8" t="inlineStr">
        <is>
          <t>gpu id sequential, hostname correct, gpu model label</t>
        </is>
      </c>
      <c r="D291" t="inlineStr">
        <is>
          <t>Yes</t>
        </is>
      </c>
      <c r="F291" t="inlineStr">
        <is>
          <t>Pending</t>
        </is>
      </c>
      <c r="G291" t="inlineStr">
        <is>
          <t>SONiC.202505I20260915070938_x100.15; afm-agent/controller 202505I20260915070938_x100.15; ROCm 10.2.0a20260922</t>
        </is>
      </c>
      <c r="H291" t="inlineStr">
        <is>
          <t xml:space="preserve">[g02-g17 full rack, non-disruptive compute / switch+compute, 14 Oct 2026 19:34-19:47 UTC, helios-tests g02-g17-20261014-194703 (jump host)] Pending (environment): the AMD device-metrics-exporter is not running on any tray (port 5000 refused; no run command configured), so the metrics cannot be scraped. </t>
        </is>
      </c>
      <c r="I291" s="21" t="inlineStr">
        <is>
          <t>Compute SSH</t>
        </is>
      </c>
      <c r="J291" s="21" t="inlineStr">
        <is>
          <t>Compute</t>
        </is>
      </c>
      <c r="K291" s="21" t="inlineStr">
        <is>
          <t>BKC-26.12 plan</t>
        </is>
      </c>
      <c r="L291" t="inlineStr">
        <is>
          <t>Non-disruptive</t>
        </is>
      </c>
    </row>
    <row r="292" hidden="1" ht="16" customHeight="1" s="33">
      <c r="A292" s="7" t="inlineStr">
        <is>
          <t>TC-CTL-149</t>
        </is>
      </c>
      <c r="B292" s="7" t="inlineStr">
        <is>
          <t>L3</t>
        </is>
      </c>
      <c r="C292" s="8" t="inlineStr">
        <is>
          <t>Do Docker restart, port re-bind, fresh metrics, no errors</t>
        </is>
      </c>
      <c r="D292" t="inlineStr">
        <is>
          <t>Yes</t>
        </is>
      </c>
      <c r="I292" s="21" t="inlineStr">
        <is>
          <t>Compute SSH</t>
        </is>
      </c>
      <c r="J292" s="21" t="inlineStr">
        <is>
          <t>Compute</t>
        </is>
      </c>
      <c r="K292" s="21" t="inlineStr">
        <is>
          <t>BKC-26.12 plan</t>
        </is>
      </c>
      <c r="L292" t="inlineStr">
        <is>
          <t>Disruptive</t>
        </is>
      </c>
    </row>
    <row r="293" hidden="1" ht="16" customHeight="1" s="33">
      <c r="A293" s="7" t="inlineStr">
        <is>
          <t>TC-CTL-150</t>
        </is>
      </c>
      <c r="B293" s="7" t="inlineStr">
        <is>
          <t>L3</t>
        </is>
      </c>
      <c r="C293" s="8" t="inlineStr">
        <is>
          <t>Upgrade, check new version, and metrics are still served</t>
        </is>
      </c>
      <c r="D293" t="inlineStr">
        <is>
          <t>Yes</t>
        </is>
      </c>
      <c r="I293" s="21" t="inlineStr">
        <is>
          <t>Compute SSH</t>
        </is>
      </c>
      <c r="J293" s="21" t="inlineStr">
        <is>
          <t>Compute</t>
        </is>
      </c>
      <c r="K293" s="21" t="inlineStr">
        <is>
          <t>BKC-26.12 plan</t>
        </is>
      </c>
      <c r="L293" t="inlineStr">
        <is>
          <t>Disruptive</t>
        </is>
      </c>
    </row>
    <row r="294" hidden="1" ht="32" customHeight="1" s="33">
      <c r="A294" s="7" t="inlineStr">
        <is>
          <t>TC-EVT-003</t>
        </is>
      </c>
      <c r="B294" s="7" t="inlineStr">
        <is>
          <t>L3</t>
        </is>
      </c>
      <c r="C294" s="8" t="inlineStr">
        <is>
          <t>Default policies are present and enabled</t>
        </is>
      </c>
      <c r="D294" t="inlineStr">
        <is>
          <t>Yes</t>
        </is>
      </c>
      <c r="F294" t="inlineStr">
        <is>
          <t>PASS</t>
        </is>
      </c>
      <c r="G294" t="inlineStr">
        <is>
          <t>SONiC.202505I20260915070938_x100.15; afm-agent/controller 202505I20260915070938_x100.15</t>
        </is>
      </c>
      <c r="H294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294" s="21" t="inlineStr">
        <is>
          <t>AFM API</t>
        </is>
      </c>
      <c r="J294" s="21" t="inlineStr">
        <is>
          <t>Switch (AFM API)</t>
        </is>
      </c>
      <c r="K294" s="21" t="inlineStr">
        <is>
          <t>BKC-26.12 plan</t>
        </is>
      </c>
      <c r="L294" t="inlineStr">
        <is>
          <t>Non-disruptive</t>
        </is>
      </c>
    </row>
    <row r="295" hidden="1" ht="16" customHeight="1" s="33">
      <c r="A295" s="7" t="inlineStr">
        <is>
          <t>TC-EVT-006</t>
        </is>
      </c>
      <c r="B295" s="7" t="inlineStr">
        <is>
          <t>L3</t>
        </is>
      </c>
      <c r="C295" s="8" t="inlineStr">
        <is>
          <t>Event Hub with North Bound operation</t>
        </is>
      </c>
      <c r="D295" t="inlineStr">
        <is>
          <t>No</t>
        </is>
      </c>
      <c r="F295" t="inlineStr">
        <is>
          <t>NA</t>
        </is>
      </c>
      <c r="H295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295" s="21" t="inlineStr">
        <is>
          <t>AFM API + switch SSH (controller internals)</t>
        </is>
      </c>
      <c r="J295" s="21" t="inlineStr">
        <is>
          <t>Switch</t>
        </is>
      </c>
      <c r="K295" s="21" t="inlineStr">
        <is>
          <t>BKC-26.12 plan</t>
        </is>
      </c>
      <c r="L295" t="inlineStr">
        <is>
          <t>Non-disruptive (est.)</t>
        </is>
      </c>
    </row>
    <row r="296" hidden="1" ht="16" customHeight="1" s="33">
      <c r="A296" s="7" t="inlineStr">
        <is>
          <t>TC-EVT-008</t>
        </is>
      </c>
      <c r="B296" s="7" t="inlineStr">
        <is>
          <t>L3</t>
        </is>
      </c>
      <c r="C296" s="8" t="inlineStr">
        <is>
          <t>If policies and workflow can be modified ?</t>
        </is>
      </c>
      <c r="D296" t="inlineStr">
        <is>
          <t>No</t>
        </is>
      </c>
      <c r="F296" t="inlineStr">
        <is>
          <t>NA</t>
        </is>
      </c>
      <c r="H296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296" s="21" t="inlineStr">
        <is>
          <t>AFM API + switch SSH (controller internals)</t>
        </is>
      </c>
      <c r="J296" s="21" t="inlineStr">
        <is>
          <t>Switch</t>
        </is>
      </c>
      <c r="K296" s="21" t="inlineStr">
        <is>
          <t>BKC-26.12 plan</t>
        </is>
      </c>
      <c r="L296" t="inlineStr">
        <is>
          <t>Non-disruptive (est.)</t>
        </is>
      </c>
    </row>
    <row r="297" hidden="1" ht="16" customHeight="1" s="33">
      <c r="A297" s="7" t="inlineStr">
        <is>
          <t>TC-EVT-010</t>
        </is>
      </c>
      <c r="B297" s="7" t="inlineStr">
        <is>
          <t>L3</t>
        </is>
      </c>
      <c r="C297" s="8" t="inlineStr">
        <is>
          <t>Modify the batch interval in unified controller while bring-up of aifm</t>
        </is>
      </c>
      <c r="D297" t="inlineStr">
        <is>
          <t>No</t>
        </is>
      </c>
      <c r="F297" t="inlineStr">
        <is>
          <t>NA</t>
        </is>
      </c>
      <c r="H297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297" s="21" t="inlineStr">
        <is>
          <t>AFM API + switch SSH (controller internals)</t>
        </is>
      </c>
      <c r="J297" s="21" t="inlineStr">
        <is>
          <t>Switch</t>
        </is>
      </c>
      <c r="K297" s="21" t="inlineStr">
        <is>
          <t>BKC-26.12 plan</t>
        </is>
      </c>
      <c r="L297" t="inlineStr">
        <is>
          <t>Non-disruptive (est.)</t>
        </is>
      </c>
    </row>
    <row r="298" hidden="1" ht="16" customHeight="1" s="33">
      <c r="A298" s="7" t="inlineStr">
        <is>
          <t>TC-EVT-012</t>
        </is>
      </c>
      <c r="B298" s="7" t="inlineStr">
        <is>
          <t>L3</t>
        </is>
      </c>
      <c r="C298" s="8" t="inlineStr">
        <is>
          <t>Event Hub when topology excel sheet with connectivity detail is changed ?</t>
        </is>
      </c>
      <c r="D298" t="inlineStr">
        <is>
          <t>No</t>
        </is>
      </c>
      <c r="F298" t="inlineStr">
        <is>
          <t>NA</t>
        </is>
      </c>
      <c r="H298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298" s="21" t="inlineStr">
        <is>
          <t>AFM API + switch SSH (controller internals)</t>
        </is>
      </c>
      <c r="J298" s="21" t="inlineStr">
        <is>
          <t>Switch</t>
        </is>
      </c>
      <c r="K298" s="21" t="inlineStr">
        <is>
          <t>BKC-26.12 plan</t>
        </is>
      </c>
      <c r="L298" t="inlineStr">
        <is>
          <t>Non-disruptive (est.)</t>
        </is>
      </c>
    </row>
    <row r="299" ht="16" customHeight="1" s="33">
      <c r="A299" s="7" t="inlineStr">
        <is>
          <t>TC-EVT-013</t>
        </is>
      </c>
      <c r="B299" s="7" t="inlineStr">
        <is>
          <t>L3</t>
        </is>
      </c>
      <c r="C299" s="8" t="inlineStr">
        <is>
          <t>Events hub validation with restarting component like switch manager/compute manager (All…</t>
        </is>
      </c>
      <c r="D299" t="inlineStr">
        <is>
          <t>No</t>
        </is>
      </c>
      <c r="F299" s="18" t="inlineStr">
        <is>
          <t>NA</t>
        </is>
      </c>
      <c r="H299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299" s="21" t="inlineStr">
        <is>
          <t>AFM API + switch SSH (controller internals)</t>
        </is>
      </c>
      <c r="J299" s="21" t="inlineStr">
        <is>
          <t>Switch</t>
        </is>
      </c>
      <c r="K299" s="21" t="inlineStr">
        <is>
          <t>BKC-26.12 plan</t>
        </is>
      </c>
      <c r="L299" t="inlineStr">
        <is>
          <t>Disruptive (est.)</t>
        </is>
      </c>
    </row>
    <row r="300" hidden="1" ht="16" customHeight="1" s="33">
      <c r="A300" s="7" t="inlineStr">
        <is>
          <t>TC-EVT-014</t>
        </is>
      </c>
      <c r="B300" s="7" t="inlineStr">
        <is>
          <t>L3</t>
        </is>
      </c>
      <c r="C300" s="8" t="inlineStr">
        <is>
          <t>Topo services manages the proper state of the component and these are communicated to events…</t>
        </is>
      </c>
      <c r="D300" t="inlineStr">
        <is>
          <t>No</t>
        </is>
      </c>
      <c r="F300" t="inlineStr">
        <is>
          <t>NA</t>
        </is>
      </c>
      <c r="H300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300" s="21" t="inlineStr">
        <is>
          <t>AFM API + switch SSH (controller internals)</t>
        </is>
      </c>
      <c r="J300" s="21" t="inlineStr">
        <is>
          <t>Switch</t>
        </is>
      </c>
      <c r="K300" s="21" t="inlineStr">
        <is>
          <t>BKC-26.12 plan</t>
        </is>
      </c>
      <c r="L300" t="inlineStr">
        <is>
          <t>Non-disruptive (est.)</t>
        </is>
      </c>
    </row>
    <row r="301" ht="16" customHeight="1" s="33">
      <c r="A301" s="7" t="inlineStr">
        <is>
          <t>TC-EVT-018</t>
        </is>
      </c>
      <c r="B301" s="7" t="inlineStr">
        <is>
          <t>L3</t>
        </is>
      </c>
      <c r="C301" s="8" t="inlineStr">
        <is>
          <t>Move the Event Handler Mode to Auto Mode and verify warning and update status along with…</t>
        </is>
      </c>
      <c r="D301" t="inlineStr">
        <is>
          <t>No</t>
        </is>
      </c>
      <c r="F301" s="18" t="inlineStr">
        <is>
          <t>NA</t>
        </is>
      </c>
      <c r="H301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301" s="21" t="inlineStr">
        <is>
          <t>AFM API + switch SSH (controller internals)</t>
        </is>
      </c>
      <c r="J301" s="21" t="inlineStr">
        <is>
          <t>Switch</t>
        </is>
      </c>
      <c r="K301" s="21" t="inlineStr">
        <is>
          <t>BKC-26.12 plan</t>
        </is>
      </c>
      <c r="L301" t="inlineStr">
        <is>
          <t>Disruptive (est.)</t>
        </is>
      </c>
    </row>
    <row r="302" hidden="1" ht="16" customHeight="1" s="33">
      <c r="A302" s="7" t="inlineStr">
        <is>
          <t>TC-EVT-020</t>
        </is>
      </c>
      <c r="B302" s="7" t="inlineStr">
        <is>
          <t>L3</t>
        </is>
      </c>
      <c r="C302" s="8" t="inlineStr">
        <is>
          <t>Event handler with API server is not responding ( Link between API server and Events hub is…</t>
        </is>
      </c>
      <c r="D302" t="inlineStr">
        <is>
          <t>No</t>
        </is>
      </c>
      <c r="F302" t="inlineStr">
        <is>
          <t>NA</t>
        </is>
      </c>
      <c r="H302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302" s="21" t="inlineStr">
        <is>
          <t>AFM API + switch SSH (controller internals)</t>
        </is>
      </c>
      <c r="J302" s="21" t="inlineStr">
        <is>
          <t>Switch</t>
        </is>
      </c>
      <c r="K302" s="21" t="inlineStr">
        <is>
          <t>BKC-26.12 plan</t>
        </is>
      </c>
      <c r="L302" t="inlineStr">
        <is>
          <t>Non-disruptive (est.)</t>
        </is>
      </c>
    </row>
    <row r="303" hidden="1" ht="16" customHeight="1" s="33">
      <c r="A303" s="7" t="inlineStr">
        <is>
          <t>TC-EVT-021</t>
        </is>
      </c>
      <c r="B303" s="7" t="inlineStr">
        <is>
          <t>L3</t>
        </is>
      </c>
      <c r="C303" s="8" t="inlineStr">
        <is>
          <t>Events triggered with: OnGPUStatusChange() OnSwitchStatusChange() OnVPodStatusChange()…</t>
        </is>
      </c>
      <c r="D303" t="inlineStr">
        <is>
          <t>Yes</t>
        </is>
      </c>
      <c r="F303" t="inlineStr">
        <is>
          <t>PARTIAL</t>
        </is>
      </c>
      <c r="G303" t="inlineStr">
        <is>
          <t>AFM 0.1.0-AICC-817</t>
        </is>
      </c>
      <c r="H30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303" s="21" t="inlineStr">
        <is>
          <t>AFM API + switch SSH</t>
        </is>
      </c>
      <c r="J303" s="21" t="inlineStr">
        <is>
          <t>Switch</t>
        </is>
      </c>
      <c r="K303" s="21" t="inlineStr">
        <is>
          <t>BKC-26.12 plan</t>
        </is>
      </c>
      <c r="L303" t="inlineStr">
        <is>
          <t>Disruptive</t>
        </is>
      </c>
    </row>
    <row r="304" ht="16" customHeight="1" s="33">
      <c r="A304" s="7" t="inlineStr">
        <is>
          <t>TC-EVT-022</t>
        </is>
      </c>
      <c r="B304" s="7" t="inlineStr">
        <is>
          <t>L3</t>
        </is>
      </c>
      <c r="C304" s="8" t="inlineStr">
        <is>
          <t>[Link] Control-path flap (topology service &lt;-&gt; event hub) - events resume after the flap</t>
        </is>
      </c>
      <c r="D304" t="inlineStr">
        <is>
          <t>No</t>
        </is>
      </c>
      <c r="F304" s="18" t="inlineStr">
        <is>
          <t>NA</t>
        </is>
      </c>
      <c r="H304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304" s="21" t="inlineStr">
        <is>
          <t>AFM API + switch SSH (controller internals)</t>
        </is>
      </c>
      <c r="J304" s="21" t="inlineStr">
        <is>
          <t>Switch</t>
        </is>
      </c>
      <c r="K304" s="21" t="inlineStr">
        <is>
          <t>BKC-26.12 plan</t>
        </is>
      </c>
      <c r="L304" t="inlineStr">
        <is>
          <t>Disruptive (est.)</t>
        </is>
      </c>
    </row>
    <row r="305" hidden="1" ht="16" customHeight="1" s="33">
      <c r="A305" s="7" t="inlineStr">
        <is>
          <t>TC-EVT-027</t>
        </is>
      </c>
      <c r="B305" s="7" t="inlineStr">
        <is>
          <t>L3</t>
        </is>
      </c>
      <c r="C305" s="8" t="inlineStr">
        <is>
          <t>Normal event coming follows the time window of 2 secs then coleased</t>
        </is>
      </c>
      <c r="D305" t="inlineStr">
        <is>
          <t>No</t>
        </is>
      </c>
      <c r="F305" t="inlineStr">
        <is>
          <t>NA</t>
        </is>
      </c>
      <c r="H305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305" s="21" t="inlineStr">
        <is>
          <t>AFM API + switch SSH (controller internals)</t>
        </is>
      </c>
      <c r="J305" s="21" t="inlineStr">
        <is>
          <t>Switch</t>
        </is>
      </c>
      <c r="K305" s="21" t="inlineStr">
        <is>
          <t>BKC-26.12 plan</t>
        </is>
      </c>
      <c r="L305" t="inlineStr">
        <is>
          <t>Non-disruptive (est.)</t>
        </is>
      </c>
    </row>
    <row r="306" hidden="1" ht="16" customHeight="1" s="33">
      <c r="A306" s="7" t="inlineStr">
        <is>
          <t>TC-EVT-028</t>
        </is>
      </c>
      <c r="B306" s="7" t="inlineStr">
        <is>
          <t>L3</t>
        </is>
      </c>
      <c r="C306" s="8" t="inlineStr">
        <is>
          <t>High priority Event bypasses the time window and straightaway goes for processing</t>
        </is>
      </c>
      <c r="D306" t="inlineStr">
        <is>
          <t>No</t>
        </is>
      </c>
      <c r="F306" t="inlineStr">
        <is>
          <t>NA</t>
        </is>
      </c>
      <c r="H306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306" s="21" t="inlineStr">
        <is>
          <t>AFM API + switch SSH (controller internals)</t>
        </is>
      </c>
      <c r="J306" s="21" t="inlineStr">
        <is>
          <t>Switch</t>
        </is>
      </c>
      <c r="K306" s="21" t="inlineStr">
        <is>
          <t>BKC-26.12 plan</t>
        </is>
      </c>
      <c r="L306" t="inlineStr">
        <is>
          <t>Non-disruptive (est.)</t>
        </is>
      </c>
    </row>
    <row r="307" hidden="1" ht="16" customHeight="1" s="33">
      <c r="A307" s="7" t="inlineStr">
        <is>
          <t>TC-EVT-030</t>
        </is>
      </c>
      <c r="B307" s="7" t="inlineStr">
        <is>
          <t>L3</t>
        </is>
      </c>
      <c r="C307" s="8" t="inlineStr">
        <is>
          <t>If different events like GPU Events are coalesced and resolving top events will fix the…</t>
        </is>
      </c>
      <c r="D307" t="inlineStr">
        <is>
          <t>No</t>
        </is>
      </c>
      <c r="F307" t="inlineStr">
        <is>
          <t>NA</t>
        </is>
      </c>
      <c r="H307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307" s="21" t="inlineStr">
        <is>
          <t>AFM API + switch SSH (controller internals)</t>
        </is>
      </c>
      <c r="J307" s="21" t="inlineStr">
        <is>
          <t>Switch</t>
        </is>
      </c>
      <c r="K307" s="21" t="inlineStr">
        <is>
          <t>BKC-26.12 plan</t>
        </is>
      </c>
      <c r="L307" t="inlineStr">
        <is>
          <t>Non-disruptive (est.)</t>
        </is>
      </c>
    </row>
    <row r="308" hidden="1" ht="16" customHeight="1" s="33">
      <c r="A308" s="7" t="inlineStr">
        <is>
          <t>TC-EVT-032</t>
        </is>
      </c>
      <c r="B308" s="7" t="inlineStr">
        <is>
          <t>L3</t>
        </is>
      </c>
      <c r="C308" s="8" t="inlineStr">
        <is>
          <t>If Events on different GPU ports but same sw-plane results in same GPUPortEvent node stores…</t>
        </is>
      </c>
      <c r="D308" t="inlineStr">
        <is>
          <t>No</t>
        </is>
      </c>
      <c r="F308" t="inlineStr">
        <is>
          <t>NA</t>
        </is>
      </c>
      <c r="H308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308" s="21" t="inlineStr">
        <is>
          <t>AFM API + switch SSH (controller internals)</t>
        </is>
      </c>
      <c r="J308" s="21" t="inlineStr">
        <is>
          <t>Switch</t>
        </is>
      </c>
      <c r="K308" s="21" t="inlineStr">
        <is>
          <t>BKC-26.12 plan</t>
        </is>
      </c>
      <c r="L308" t="inlineStr">
        <is>
          <t>Non-disruptive (est.)</t>
        </is>
      </c>
    </row>
    <row r="309" hidden="1" ht="16" customHeight="1" s="33">
      <c r="A309" s="7" t="inlineStr">
        <is>
          <t>TC-EVT-033</t>
        </is>
      </c>
      <c r="B309" s="7" t="inlineStr">
        <is>
          <t>L3</t>
        </is>
      </c>
      <c r="C309" s="8" t="inlineStr">
        <is>
          <t>If there is an action mapping tree mapped uniquely to a vpod</t>
        </is>
      </c>
      <c r="D309" t="inlineStr">
        <is>
          <t>No</t>
        </is>
      </c>
      <c r="F309" t="inlineStr">
        <is>
          <t>NA</t>
        </is>
      </c>
      <c r="H309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309" s="21" t="inlineStr">
        <is>
          <t>AFM API + switch SSH (controller internals)</t>
        </is>
      </c>
      <c r="J309" s="21" t="inlineStr">
        <is>
          <t>Switch</t>
        </is>
      </c>
      <c r="K309" s="21" t="inlineStr">
        <is>
          <t>BKC-26.12 plan</t>
        </is>
      </c>
      <c r="L309" t="inlineStr">
        <is>
          <t>Non-disruptive (est.)</t>
        </is>
      </c>
    </row>
    <row r="310" hidden="1" ht="16" customHeight="1" s="33">
      <c r="A310" s="7" t="inlineStr">
        <is>
          <t>TC-EVT-034</t>
        </is>
      </c>
      <c r="B310" s="7" t="inlineStr">
        <is>
          <t>L3</t>
        </is>
      </c>
      <c r="C310" s="8" t="inlineStr">
        <is>
          <t>At end of time window these action trees are scanned and actions are taken</t>
        </is>
      </c>
      <c r="D310" t="inlineStr">
        <is>
          <t>No</t>
        </is>
      </c>
      <c r="F310" t="inlineStr">
        <is>
          <t>NA</t>
        </is>
      </c>
      <c r="H310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310" s="21" t="inlineStr">
        <is>
          <t>AFM API + switch SSH (controller internals)</t>
        </is>
      </c>
      <c r="J310" s="21" t="inlineStr">
        <is>
          <t>Switch</t>
        </is>
      </c>
      <c r="K310" s="21" t="inlineStr">
        <is>
          <t>BKC-26.12 plan</t>
        </is>
      </c>
      <c r="L310" t="inlineStr">
        <is>
          <t>Non-disruptive (est.)</t>
        </is>
      </c>
    </row>
    <row r="311" hidden="1" ht="16" customHeight="1" s="33">
      <c r="A311" s="7" t="inlineStr">
        <is>
          <t>TC-EVT-035</t>
        </is>
      </c>
      <c r="B311" s="7" t="inlineStr">
        <is>
          <t>L3</t>
        </is>
      </c>
      <c r="C311" s="8" t="inlineStr">
        <is>
          <t>Multiple independent actions at the same level</t>
        </is>
      </c>
      <c r="D311" t="inlineStr">
        <is>
          <t>No</t>
        </is>
      </c>
      <c r="F311" t="inlineStr">
        <is>
          <t>NA</t>
        </is>
      </c>
      <c r="H311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311" s="21" t="inlineStr">
        <is>
          <t>AFM API + switch SSH (controller internals)</t>
        </is>
      </c>
      <c r="J311" s="21" t="inlineStr">
        <is>
          <t>Switch</t>
        </is>
      </c>
      <c r="K311" s="21" t="inlineStr">
        <is>
          <t>BKC-26.12 plan</t>
        </is>
      </c>
      <c r="L311" t="inlineStr">
        <is>
          <t>Non-disruptive (est.)</t>
        </is>
      </c>
    </row>
    <row r="312" hidden="1" ht="32" customHeight="1" s="33">
      <c r="A312" s="7" t="inlineStr">
        <is>
          <t>TC-EVT-038</t>
        </is>
      </c>
      <c r="B312" s="7" t="inlineStr">
        <is>
          <t>L3</t>
        </is>
      </c>
      <c r="C312" s="8" t="inlineStr">
        <is>
          <t>The etcd store are full and logs are rolled over with max 16000 events and 24 hour</t>
        </is>
      </c>
      <c r="D312" t="inlineStr">
        <is>
          <t>Yes</t>
        </is>
      </c>
      <c r="F312" t="inlineStr">
        <is>
          <t>PASS</t>
        </is>
      </c>
      <c r="G312" t="inlineStr">
        <is>
          <t>SONiC.202505I20260915070938_x100.15; afm-agent/controller 202505I20260915070938_x100.15</t>
        </is>
      </c>
      <c r="H312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312" s="21" t="inlineStr">
        <is>
          <t>AFM API</t>
        </is>
      </c>
      <c r="J312" s="21" t="inlineStr">
        <is>
          <t>Switch (AFM API)</t>
        </is>
      </c>
      <c r="K312" s="21" t="inlineStr">
        <is>
          <t>BKC-26.12 plan</t>
        </is>
      </c>
      <c r="L312" t="inlineStr">
        <is>
          <t>Non-disruptive</t>
        </is>
      </c>
    </row>
    <row r="313" hidden="1" ht="32" customHeight="1" s="33">
      <c r="A313" s="7" t="inlineStr">
        <is>
          <t>TC-HW-002</t>
        </is>
      </c>
      <c r="B313" s="7" t="inlineStr">
        <is>
          <t>L3</t>
        </is>
      </c>
      <c r="C313" s="8" t="inlineStr">
        <is>
          <t>Interface speed matches configuration</t>
        </is>
      </c>
      <c r="D313" t="inlineStr">
        <is>
          <t>Yes</t>
        </is>
      </c>
      <c r="F313" t="inlineStr">
        <is>
          <t>PASS</t>
        </is>
      </c>
      <c r="G313" t="inlineStr">
        <is>
          <t>SONiC.202505I20260915070938_x100.15; afm-agent/controller 202505I20260915070938_x100.15</t>
        </is>
      </c>
      <c r="H313" s="21" t="inlineStr">
        <is>
          <t>[g02-g17 full rack, non-disruptive switch + AFM API, 14 Oct 2026] 6 item(s) passed (helios-tests fullrack-switch-nd-filtered, g02-g17-20261014-092828, g02-g17-20261014-170350, g02-g17-20261014-170910)</t>
        </is>
      </c>
      <c r="I313" s="21" t="inlineStr">
        <is>
          <t>Switch SSH</t>
        </is>
      </c>
      <c r="J313" s="21" t="inlineStr">
        <is>
          <t>Switch</t>
        </is>
      </c>
      <c r="K313" s="21" t="inlineStr">
        <is>
          <t>BKC-26.12 plan</t>
        </is>
      </c>
      <c r="L313" t="inlineStr">
        <is>
          <t>Non-disruptive</t>
        </is>
      </c>
    </row>
    <row r="314" hidden="1" ht="32" customHeight="1" s="33">
      <c r="A314" s="7" t="inlineStr">
        <is>
          <t>TC-HW-008</t>
        </is>
      </c>
      <c r="B314" s="7" t="inlineStr">
        <is>
          <t>L3</t>
        </is>
      </c>
      <c r="C314" s="8" t="inlineStr">
        <is>
          <t>HW-002: TransferBench Smoke A2A In-Domain</t>
        </is>
      </c>
      <c r="D314" t="inlineStr">
        <is>
          <t>Yes</t>
        </is>
      </c>
      <c r="F314" t="inlineStr">
        <is>
          <t>PASS</t>
        </is>
      </c>
      <c r="G314" t="inlineStr">
        <is>
          <t>RACK-BKC-RCRD-26.12-rc5; AFM 0.1.0-AIFM-817</t>
        </is>
      </c>
      <c r="H314" s="21" t="inlineStr">
        <is>
          <t>[g02-g17 full rack, 12 Oct 2026 traffic validation T1, 07:41 UTC] PASS 18/18: TransferBench v1.70.02 smoketest (includes All-to-All remote write/read) in-domain on all 18 trays, "All tests passed", EXIT_CODE=0 (results/AMD-Fullrack-logs/g02-g17-traffic-validation-20261012.md). Not re-run on the 14 Oct build: TransferBench now segfaults (see TC-AFM-002).
Earlier: Covered by 12 Oct traffic validation T1: TransferBench smoketest (includes All-to-All remote write/read) in-domain on all 18 trays, PASS 18/18.</t>
        </is>
      </c>
      <c r="I314" s="21" t="inlineStr">
        <is>
          <t>Compute SSH + datapath traffic</t>
        </is>
      </c>
      <c r="J314" s="21" t="inlineStr">
        <is>
          <t>Compute</t>
        </is>
      </c>
      <c r="K314" s="21" t="inlineStr">
        <is>
          <t>BKC-26.12 plan</t>
        </is>
      </c>
      <c r="L314" s="21" t="inlineStr">
        <is>
          <t>Non-disruptive</t>
        </is>
      </c>
    </row>
    <row r="315" hidden="1" ht="16" customHeight="1" s="33">
      <c r="A315" s="7" t="inlineStr">
        <is>
          <t>TC-HW-010</t>
        </is>
      </c>
      <c r="B315" s="7" t="inlineStr">
        <is>
          <t>L3</t>
        </is>
      </c>
      <c r="C315" s="8" t="inlineStr">
        <is>
          <t>HW-004: IFoE Port Stats After Traffic</t>
        </is>
      </c>
      <c r="D315" t="inlineStr">
        <is>
          <t>Yes</t>
        </is>
      </c>
      <c r="F315" t="inlineStr">
        <is>
          <t>PARTIAL</t>
        </is>
      </c>
      <c r="G315" t="inlineStr">
        <is>
          <t>SONiC.202505I20260915070938_x100.15; afm-agent/controller 202505I20260915070938_x100.15; ROCm 10.2.0a20260922</t>
        </is>
      </c>
      <c r="H315" t="inlineStr">
        <is>
          <t>[g02-g17 full rack, 16 Oct 14:28 UTC, helios-tests g02-g17-20261016-142822] PARTIAL (CT05 unreachable): IFoE MAC counters (afmctl show port statistics mac) increased on all 4 GPUs of CT01 during TransferBench (~2.8e11 per GPU). The 14:14 run read 0 -&gt; 0: test bug, the counters are under "ports" in afmctl JSON - fixed in helios-tests fce4649.
Earlier: [g02-g17 full rack, non-disruptive compute / switch+compute, 14 Oct 2026 19:34-19:47 UTC, helios-tests g02-g17-20261014-194703 (jump host)] Pending (environment): no traffic could be generated - TransferBench fails on CT03 (see TC-AFM-002), so IFoE MAC counters stay 0.</t>
        </is>
      </c>
      <c r="I315" s="21" t="inlineStr">
        <is>
          <t>Compute SSH + datapath traffic</t>
        </is>
      </c>
      <c r="J315" s="21" t="inlineStr">
        <is>
          <t>Compute</t>
        </is>
      </c>
      <c r="K315" s="21" t="inlineStr">
        <is>
          <t>BKC-26.12 plan</t>
        </is>
      </c>
      <c r="L315" t="inlineStr">
        <is>
          <t>Non-disruptive</t>
        </is>
      </c>
    </row>
    <row r="316" hidden="1" ht="32" customHeight="1" s="33">
      <c r="A316" s="7" t="inlineStr">
        <is>
          <t>TC-HW-013</t>
        </is>
      </c>
      <c r="B316" s="7" t="inlineStr">
        <is>
          <t>L3</t>
        </is>
      </c>
      <c r="C316" s="8" t="inlineStr">
        <is>
          <t>HW-010: Dest Accelerator MAC Check</t>
        </is>
      </c>
      <c r="D316" t="inlineStr">
        <is>
          <t>Yes</t>
        </is>
      </c>
      <c r="F316" t="inlineStr">
        <is>
          <t>PARTIAL</t>
        </is>
      </c>
      <c r="G316" t="inlineStr">
        <is>
          <t>SONiC.202505I20260915070938_x100.15; afm-agent/controller 202505I20260915070938_x100.15; ROCm 10.2.0a20260922</t>
        </is>
      </c>
      <c r="H316" t="inlineStr">
        <is>
          <t>[g02-g17 full rack, rerun after test fix, 14 Oct 2026 20:13 UTC, helios-tests g02-g17-20261014-201311 (jump host)] PARTIAL: destination accelerator MAC tables complete and consistent; every MAC is a static FDB entry on the described port (68 accelerators). The switch port descriptions number each tray's GPUs in reverse vs AFM (acc 0&lt;-&gt;3, 1&lt;-&gt;2) - accepted as one consistent renumbering per tray. Not checked on CT02 (10.255.4.48), CT05 (10.255.4.51) and CT17 (10.255.4.63) unreachable (no SSH). (First run 19:44 UTC failed 2451 checks on that numbering - test fixed.)</t>
        </is>
      </c>
      <c r="I316" s="21" t="inlineStr">
        <is>
          <t>Switch + compute SSH</t>
        </is>
      </c>
      <c r="J316" s="21" t="inlineStr">
        <is>
          <t>Switch + Compute</t>
        </is>
      </c>
      <c r="K316" s="21" t="inlineStr">
        <is>
          <t>BKC-26.12 plan</t>
        </is>
      </c>
      <c r="L316" t="inlineStr">
        <is>
          <t>Non-disruptive</t>
        </is>
      </c>
    </row>
    <row r="317" hidden="1" ht="16" customHeight="1" s="33">
      <c r="A317" s="7" t="inlineStr">
        <is>
          <t>TC-HW-017</t>
        </is>
      </c>
      <c r="B317" s="7" t="inlineStr">
        <is>
          <t>L3</t>
        </is>
      </c>
      <c r="C317" s="8" t="inlineStr">
        <is>
          <t>HW-011: IFoE Driver Remove/Re-add Atable</t>
        </is>
      </c>
      <c r="D317" t="inlineStr">
        <is>
          <t>Yes</t>
        </is>
      </c>
      <c r="I317" s="21" t="inlineStr">
        <is>
          <t>Compute SSH + datapath traffic</t>
        </is>
      </c>
      <c r="J317" s="21" t="inlineStr">
        <is>
          <t>Compute</t>
        </is>
      </c>
      <c r="K317" s="21" t="inlineStr">
        <is>
          <t>BKC-26.12 plan</t>
        </is>
      </c>
      <c r="L317" t="inlineStr">
        <is>
          <t>Disruptive</t>
        </is>
      </c>
    </row>
    <row r="318" hidden="1" ht="32" customHeight="1" s="33">
      <c r="A318" s="7" t="inlineStr">
        <is>
          <t>TC-HW-022</t>
        </is>
      </c>
      <c r="B318" s="7" t="inlineStr">
        <is>
          <t>L3</t>
        </is>
      </c>
      <c r="C318" s="8" t="inlineStr">
        <is>
          <t>HW-019: SONiC OS Upgrade Clean (ONIE)</t>
        </is>
      </c>
      <c r="D318" t="inlineStr">
        <is>
          <t>Yes</t>
        </is>
      </c>
      <c r="I318" s="21" t="inlineStr">
        <is>
          <t>upgrade images + AFM API + switch SSH</t>
        </is>
      </c>
      <c r="J318" s="21" t="inlineStr">
        <is>
          <t>Switch + Compute</t>
        </is>
      </c>
      <c r="K318" s="21" t="inlineStr">
        <is>
          <t>BKC-26.12 plan</t>
        </is>
      </c>
      <c r="L318" t="inlineStr">
        <is>
          <t>Disruptive</t>
        </is>
      </c>
    </row>
    <row r="319" hidden="1" ht="16" customHeight="1" s="33">
      <c r="A319" s="7" t="inlineStr">
        <is>
          <t>TC-HW-025</t>
        </is>
      </c>
      <c r="B319" s="7" t="inlineStr">
        <is>
          <t>L3</t>
        </is>
      </c>
      <c r="C319" s="8" t="inlineStr">
        <is>
          <t>HW-022: GPU Reset via amd-smi AFM Reconfigure</t>
        </is>
      </c>
      <c r="D319" t="inlineStr">
        <is>
          <t>Yes</t>
        </is>
      </c>
      <c r="I319" s="21" t="inlineStr">
        <is>
          <t>AFM API + compute SSH</t>
        </is>
      </c>
      <c r="J319" s="21" t="inlineStr">
        <is>
          <t>Compute</t>
        </is>
      </c>
      <c r="K319" s="21" t="inlineStr">
        <is>
          <t>BKC-26.12 plan</t>
        </is>
      </c>
      <c r="L319" t="inlineStr">
        <is>
          <t>Disruptive</t>
        </is>
      </c>
    </row>
    <row r="320" hidden="1" ht="32" customHeight="1" s="33">
      <c r="A320" s="7" t="inlineStr">
        <is>
          <t>TC-MCH-002</t>
        </is>
      </c>
      <c r="B320" s="7" t="inlineStr">
        <is>
          <t>L3</t>
        </is>
      </c>
      <c r="C320" s="8" t="inlineStr">
        <is>
          <t>MCH station port distribution across 18 stations (6x2, 6x1, 6x0 ports)</t>
        </is>
      </c>
      <c r="D320" t="inlineStr">
        <is>
          <t>Yes</t>
        </is>
      </c>
      <c r="F320" t="inlineStr">
        <is>
          <t>N/A</t>
        </is>
      </c>
      <c r="H320" t="inlineStr">
        <is>
          <t>[14 Oct 2026] N/A on g02-g17: not an MCH rack (sideband control mode, standard QFX5252 fabric, no heliosmch / 18-link MCH station layout). Runs on an MCH rack.</t>
        </is>
      </c>
      <c r="I320" s="21" t="inlineStr">
        <is>
          <t>MCH rack (18-link) + AFM API + compute SSH</t>
        </is>
      </c>
      <c r="J320" s="21" t="inlineStr">
        <is>
          <t>Switch + Compute</t>
        </is>
      </c>
      <c r="K320" s="21" t="inlineStr">
        <is>
          <t>BKC-26.12 plan</t>
        </is>
      </c>
      <c r="L320" t="inlineStr">
        <is>
          <t>Non-disruptive</t>
        </is>
      </c>
    </row>
    <row r="321" hidden="1" ht="32" customHeight="1" s="33">
      <c r="A321" s="7" t="inlineStr">
        <is>
          <t>TC-MCH-004</t>
        </is>
      </c>
      <c r="B321" s="7" t="inlineStr">
        <is>
          <t>L3</t>
        </is>
      </c>
      <c r="C321" s="8" t="inlineStr">
        <is>
          <t>Lane bitmask is set to 000fff333000fff333 in compute for all 4 GPUs</t>
        </is>
      </c>
      <c r="D321" t="inlineStr">
        <is>
          <t>Yes</t>
        </is>
      </c>
      <c r="F321" t="inlineStr">
        <is>
          <t>N/A</t>
        </is>
      </c>
      <c r="H321" t="inlineStr">
        <is>
          <t>[14 Oct 2026] N/A on g02-g17: not an MCH rack (sideband control mode, standard QFX5252 fabric, no heliosmch / 18-link MCH station layout). Runs on an MCH rack.</t>
        </is>
      </c>
      <c r="I321" s="21" t="inlineStr">
        <is>
          <t>MCH rack (18-link) + AFM API + compute SSH</t>
        </is>
      </c>
      <c r="J321" s="21" t="inlineStr">
        <is>
          <t>Switch + Compute</t>
        </is>
      </c>
      <c r="K321" s="21" t="inlineStr">
        <is>
          <t>BKC-26.12 plan</t>
        </is>
      </c>
      <c r="L321" t="inlineStr">
        <is>
          <t>Non-disruptive</t>
        </is>
      </c>
    </row>
    <row r="322" hidden="1" ht="32" customHeight="1" s="33">
      <c r="A322" s="7" t="inlineStr">
        <is>
          <t>TC-MCH-006</t>
        </is>
      </c>
      <c r="B322" s="7" t="inlineStr">
        <is>
          <t>L3</t>
        </is>
      </c>
      <c r="C322" s="8" t="inlineStr">
        <is>
          <t>MAC addresses are assigned/reported only for the 18 used ports</t>
        </is>
      </c>
      <c r="D322" t="inlineStr">
        <is>
          <t>Yes</t>
        </is>
      </c>
      <c r="F322" t="inlineStr">
        <is>
          <t>N/A</t>
        </is>
      </c>
      <c r="H322" t="inlineStr">
        <is>
          <t>[14 Oct 2026] N/A on g02-g17: not an MCH rack (sideband control mode, standard QFX5252 fabric, no heliosmch / 18-link MCH station layout). Runs on an MCH rack.</t>
        </is>
      </c>
      <c r="I322" s="21" t="inlineStr">
        <is>
          <t>MCH rack (18-link) + AFM API + compute SSH</t>
        </is>
      </c>
      <c r="J322" s="21" t="inlineStr">
        <is>
          <t>Switch + Compute</t>
        </is>
      </c>
      <c r="K322" s="21" t="inlineStr">
        <is>
          <t>BKC-26.12 plan</t>
        </is>
      </c>
      <c r="L322" t="inlineStr">
        <is>
          <t>Non-disruptive</t>
        </is>
      </c>
    </row>
    <row r="323" hidden="1" ht="32" customHeight="1" s="33">
      <c r="A323" s="7" t="inlineStr">
        <is>
          <t>TC-MCH-007</t>
        </is>
      </c>
      <c r="B323" s="7" t="inlineStr">
        <is>
          <t>L3</t>
        </is>
      </c>
      <c r="C323" s="8" t="inlineStr">
        <is>
          <t>0-port stations are excluded from vPOD/path computation and raise no false alarms</t>
        </is>
      </c>
      <c r="D323" t="inlineStr">
        <is>
          <t>Yes</t>
        </is>
      </c>
      <c r="F323" t="inlineStr">
        <is>
          <t>N/A</t>
        </is>
      </c>
      <c r="H323" t="inlineStr">
        <is>
          <t>[14 Oct 2026] N/A on g02-g17: not an MCH rack (sideband control mode, standard QFX5252 fabric, no heliosmch / 18-link MCH station layout). Runs on an MCH rack.</t>
        </is>
      </c>
      <c r="I323" s="21" t="inlineStr">
        <is>
          <t>MCH rack (18-link) + AFM API + compute SSH</t>
        </is>
      </c>
      <c r="J323" s="21" t="inlineStr">
        <is>
          <t>Switch + Compute</t>
        </is>
      </c>
      <c r="K323" s="21" t="inlineStr">
        <is>
          <t>BKC-26.12 plan</t>
        </is>
      </c>
      <c r="L323" t="inlineStr">
        <is>
          <t>Non-disruptive</t>
        </is>
      </c>
    </row>
    <row r="324" hidden="1" ht="32" customHeight="1" s="33">
      <c r="A324" s="7" t="inlineStr">
        <is>
          <t>TC-MCH-008</t>
        </is>
      </c>
      <c r="B324" s="7" t="inlineStr">
        <is>
          <t>L3</t>
        </is>
      </c>
      <c r="C324" s="8" t="inlineStr">
        <is>
          <t>Port IDs and station IDs match MI450 numbering</t>
        </is>
      </c>
      <c r="D324" t="inlineStr">
        <is>
          <t>Yes</t>
        </is>
      </c>
      <c r="F324" t="inlineStr">
        <is>
          <t>N/A</t>
        </is>
      </c>
      <c r="H324" t="inlineStr">
        <is>
          <t>[14 Oct 2026] N/A on g02-g17: not an MCH rack (sideband control mode, standard QFX5252 fabric, no heliosmch / 18-link MCH station layout). Runs on an MCH rack.</t>
        </is>
      </c>
      <c r="I324" s="21" t="inlineStr">
        <is>
          <t>MCH rack (18-link) + AFM API + compute SSH</t>
        </is>
      </c>
      <c r="J324" s="21" t="inlineStr">
        <is>
          <t>Switch + Compute</t>
        </is>
      </c>
      <c r="K324" s="21" t="inlineStr">
        <is>
          <t>BKC-26.12 plan</t>
        </is>
      </c>
      <c r="L324" t="inlineStr">
        <is>
          <t>Non-disruptive</t>
        </is>
      </c>
    </row>
    <row r="325" hidden="1" ht="32" customHeight="1" s="33">
      <c r="A325" s="7" t="inlineStr">
        <is>
          <t>TC-MCH-009</t>
        </is>
      </c>
      <c r="B325" s="7" t="inlineStr">
        <is>
          <t>L3</t>
        </is>
      </c>
      <c r="C325" s="8" t="inlineStr">
        <is>
          <t>Disabled/unbound ports are visible via get APIs and flagged 'disabled'</t>
        </is>
      </c>
      <c r="D325" t="inlineStr">
        <is>
          <t>Yes</t>
        </is>
      </c>
      <c r="F325" t="inlineStr">
        <is>
          <t>N/A</t>
        </is>
      </c>
      <c r="H325" t="inlineStr">
        <is>
          <t>[14 Oct 2026] N/A on g02-g17: not an MCH rack (sideband control mode, standard QFX5252 fabric, no heliosmch / 18-link MCH station layout). Runs on an MCH rack.</t>
        </is>
      </c>
      <c r="I325" s="21" t="inlineStr">
        <is>
          <t>MCH rack (18-link) + AFM API + compute SSH</t>
        </is>
      </c>
      <c r="J325" s="21" t="inlineStr">
        <is>
          <t>Switch + Compute</t>
        </is>
      </c>
      <c r="K325" s="21" t="inlineStr">
        <is>
          <t>BKC-26.12 plan</t>
        </is>
      </c>
      <c r="L325" t="inlineStr">
        <is>
          <t>Non-disruptive</t>
        </is>
      </c>
    </row>
    <row r="326" hidden="1" ht="32" customHeight="1" s="33">
      <c r="A326" s="7" t="inlineStr">
        <is>
          <t>TC-MCH-011</t>
        </is>
      </c>
      <c r="B326" s="7" t="inlineStr">
        <is>
          <t>L3</t>
        </is>
      </c>
      <c r="C326" s="8" t="inlineStr">
        <is>
          <t>MCH brings up with the mock IFoE driver</t>
        </is>
      </c>
      <c r="D326" t="inlineStr">
        <is>
          <t>Yes</t>
        </is>
      </c>
      <c r="F326" t="inlineStr">
        <is>
          <t>N/A</t>
        </is>
      </c>
      <c r="H326" t="inlineStr">
        <is>
          <t>[14 Oct 2026] N/A on g02-g17: not an MCH rack (sideband control mode, standard QFX5252 fabric, no heliosmch / 18-link MCH station layout). Runs on an MCH rack.</t>
        </is>
      </c>
      <c r="I326" s="21" t="inlineStr">
        <is>
          <t>MCH rack (18-link) + AFM API + compute SSH</t>
        </is>
      </c>
      <c r="J326" s="21" t="inlineStr">
        <is>
          <t>Switch + Compute</t>
        </is>
      </c>
      <c r="K326" s="21" t="inlineStr">
        <is>
          <t>BKC-26.12 plan</t>
        </is>
      </c>
      <c r="L326" t="inlineStr">
        <is>
          <t>Non-disruptive</t>
        </is>
      </c>
    </row>
    <row r="327" hidden="1" ht="32" customHeight="1" s="33">
      <c r="A327" s="7" t="inlineStr">
        <is>
          <t>TC-MCH-012</t>
        </is>
      </c>
      <c r="B327" s="7" t="inlineStr">
        <is>
          <t>L3</t>
        </is>
      </c>
      <c r="C327" s="8" t="inlineStr">
        <is>
          <t>Lane strategy: selected 6x2/6x1/6x0 (000fff333000fff333) vs alternative 9x2/9x0</t>
        </is>
      </c>
      <c r="D327" t="inlineStr">
        <is>
          <t>Yes</t>
        </is>
      </c>
      <c r="F327" t="inlineStr">
        <is>
          <t>N/A</t>
        </is>
      </c>
      <c r="H327" t="inlineStr">
        <is>
          <t>[14 Oct 2026] N/A on g02-g17: not an MCH rack (sideband control mode, standard QFX5252 fabric, no heliosmch / 18-link MCH station layout). Runs on an MCH rack.</t>
        </is>
      </c>
      <c r="I327" s="21" t="inlineStr">
        <is>
          <t>MCH rack (18-link) + AFM API + compute SSH</t>
        </is>
      </c>
      <c r="J327" s="21" t="inlineStr">
        <is>
          <t>Switch + Compute</t>
        </is>
      </c>
      <c r="K327" s="21" t="inlineStr">
        <is>
          <t>BKC-26.12 plan</t>
        </is>
      </c>
      <c r="L327" t="inlineStr">
        <is>
          <t>Non-disruptive</t>
        </is>
      </c>
    </row>
    <row r="328" hidden="1" ht="32" customHeight="1" s="33">
      <c r="A328" s="7" t="inlineStr">
        <is>
          <t>TC-MCH-014</t>
        </is>
      </c>
      <c r="B328" s="7" t="inlineStr">
        <is>
          <t>L3</t>
        </is>
      </c>
      <c r="C328" s="8" t="inlineStr">
        <is>
          <t>Switch slot IDs for heliosmch are 1, 2, 3 in full rack</t>
        </is>
      </c>
      <c r="D328" t="inlineStr">
        <is>
          <t>Yes</t>
        </is>
      </c>
      <c r="F328" t="inlineStr">
        <is>
          <t>N/A</t>
        </is>
      </c>
      <c r="H328" t="inlineStr">
        <is>
          <t>[14 Oct 2026] N/A on g02-g17: not an MCH rack (sideband control mode, standard QFX5252 fabric, no heliosmch / 18-link MCH station layout). Runs on an MCH rack.</t>
        </is>
      </c>
      <c r="I328" s="21" t="inlineStr">
        <is>
          <t>MCH rack (18-link) + AFM API</t>
        </is>
      </c>
      <c r="J328" s="21" t="inlineStr">
        <is>
          <t>Switch + Compute</t>
        </is>
      </c>
      <c r="K328" s="21" t="inlineStr">
        <is>
          <t>BKC-26.12 plan</t>
        </is>
      </c>
      <c r="L328" t="inlineStr">
        <is>
          <t>Non-disruptive</t>
        </is>
      </c>
    </row>
    <row r="329" hidden="1" ht="32" customHeight="1" s="33">
      <c r="A329" s="7" t="inlineStr">
        <is>
          <t>TC-MCH-015</t>
        </is>
      </c>
      <c r="B329" s="7" t="inlineStr">
        <is>
          <t>L3</t>
        </is>
      </c>
      <c r="C329" s="8" t="inlineStr">
        <is>
          <t>Heliosmchmini comes up with the correct link count per GPU</t>
        </is>
      </c>
      <c r="D329" t="inlineStr">
        <is>
          <t>Yes</t>
        </is>
      </c>
      <c r="F329" t="inlineStr">
        <is>
          <t>N/A</t>
        </is>
      </c>
      <c r="H329" t="inlineStr">
        <is>
          <t>[14 Oct 2026] N/A on g02-g17: not an MCH rack (sideband control mode, standard QFX5252 fabric, no heliosmch / 18-link MCH station layout). Runs on an MCH rack.</t>
        </is>
      </c>
      <c r="I329" s="21" t="inlineStr">
        <is>
          <t>MCH rack (18-link) + AFM API + compute SSH</t>
        </is>
      </c>
      <c r="J329" s="21" t="inlineStr">
        <is>
          <t>Switch + Compute</t>
        </is>
      </c>
      <c r="K329" s="21" t="inlineStr">
        <is>
          <t>BKC-26.12 plan</t>
        </is>
      </c>
      <c r="L329" t="inlineStr">
        <is>
          <t>Non-disruptive</t>
        </is>
      </c>
    </row>
    <row r="330" hidden="1" ht="32" customHeight="1" s="33">
      <c r="A330" s="7" t="inlineStr">
        <is>
          <t>TC-MCH-018</t>
        </is>
      </c>
      <c r="B330" s="7" t="inlineStr">
        <is>
          <t>L3</t>
        </is>
      </c>
      <c r="C330" s="8" t="inlineStr">
        <is>
          <t>Invalid/unsupported rack type is rejected at bootstrap</t>
        </is>
      </c>
      <c r="D330" t="inlineStr">
        <is>
          <t>Yes</t>
        </is>
      </c>
      <c r="I330" s="21" t="inlineStr">
        <is>
          <t>MCH rack (18-link) + AFM API + switch SSH</t>
        </is>
      </c>
      <c r="J330" s="21" t="inlineStr">
        <is>
          <t>Switch + Compute</t>
        </is>
      </c>
      <c r="K330" s="21" t="inlineStr">
        <is>
          <t>BKC-26.12 plan</t>
        </is>
      </c>
      <c r="L330" t="inlineStr">
        <is>
          <t>Disruptive</t>
        </is>
      </c>
    </row>
    <row r="331" hidden="1" ht="32" customHeight="1" s="33">
      <c r="A331" s="7" t="inlineStr">
        <is>
          <t>TC-MCH-019</t>
        </is>
      </c>
      <c r="B331" s="7" t="inlineStr">
        <is>
          <t>L3</t>
        </is>
      </c>
      <c r="C331" s="8" t="inlineStr">
        <is>
          <t>Full-rack: ifoefw detects MCH and reports used ports OperUp, disabled ports as disabled (not…</t>
        </is>
      </c>
      <c r="D331" t="inlineStr">
        <is>
          <t>Yes</t>
        </is>
      </c>
      <c r="F331" t="inlineStr">
        <is>
          <t>N/A</t>
        </is>
      </c>
      <c r="H331" t="inlineStr">
        <is>
          <t>[14 Oct 2026] N/A on g02-g17: not an MCH rack (sideband control mode, standard QFX5252 fabric, no heliosmch / 18-link MCH station layout). Runs on an MCH rack.</t>
        </is>
      </c>
      <c r="I331" s="21" t="inlineStr">
        <is>
          <t>MCH rack (18-link) + AFM API + compute SSH</t>
        </is>
      </c>
      <c r="J331" s="21" t="inlineStr">
        <is>
          <t>Switch + Compute</t>
        </is>
      </c>
      <c r="K331" s="21" t="inlineStr">
        <is>
          <t>BKC-26.12 plan</t>
        </is>
      </c>
      <c r="L331" t="inlineStr">
        <is>
          <t>Non-disruptive</t>
        </is>
      </c>
    </row>
    <row r="332" hidden="1" ht="32" customHeight="1" s="33">
      <c r="A332" s="7" t="inlineStr">
        <is>
          <t>TC-MCH-021</t>
        </is>
      </c>
      <c r="B332" s="7" t="inlineStr">
        <is>
          <t>L3</t>
        </is>
      </c>
      <c r="C332" s="8" t="inlineStr">
        <is>
          <t>Afmctl path-to-port map is updated for stations with all 3 port combinations (2/1/0 ports)</t>
        </is>
      </c>
      <c r="D332" t="inlineStr">
        <is>
          <t>Yes</t>
        </is>
      </c>
      <c r="I332" s="21" t="inlineStr">
        <is>
          <t>MCH rack (18-link) + AFM API + switch + compute SSH</t>
        </is>
      </c>
      <c r="J332" s="21" t="inlineStr">
        <is>
          <t>Switch + Compute</t>
        </is>
      </c>
      <c r="K332" s="21" t="inlineStr">
        <is>
          <t>BKC-26.12 plan</t>
        </is>
      </c>
      <c r="L332" t="inlineStr">
        <is>
          <t>Disruptive</t>
        </is>
      </c>
    </row>
    <row r="333" hidden="1" ht="32" customHeight="1" s="33">
      <c r="A333" s="7" t="inlineStr">
        <is>
          <t>TC-MCH-022</t>
        </is>
      </c>
      <c r="B333" s="7" t="inlineStr">
        <is>
          <t>L3</t>
        </is>
      </c>
      <c r="C333" s="8" t="inlineStr">
        <is>
          <t>Afmctl destination accelerator address is updated only for the 18 used ports</t>
        </is>
      </c>
      <c r="D333" t="inlineStr">
        <is>
          <t>Yes</t>
        </is>
      </c>
      <c r="F333" t="inlineStr">
        <is>
          <t>N/A</t>
        </is>
      </c>
      <c r="H333" t="inlineStr">
        <is>
          <t>[14 Oct 2026] N/A on g02-g17: not an MCH rack (sideband control mode, standard QFX5252 fabric, no heliosmch / 18-link MCH station layout). Runs on an MCH rack.</t>
        </is>
      </c>
      <c r="I333" s="21" t="inlineStr">
        <is>
          <t>MCH rack (18-link) + AFM API + compute SSH</t>
        </is>
      </c>
      <c r="J333" s="21" t="inlineStr">
        <is>
          <t>Switch + Compute</t>
        </is>
      </c>
      <c r="K333" s="21" t="inlineStr">
        <is>
          <t>BKC-26.12 plan</t>
        </is>
      </c>
      <c r="L333" t="inlineStr">
        <is>
          <t>Non-disruptive</t>
        </is>
      </c>
    </row>
    <row r="334" hidden="1" ht="32" customHeight="1" s="33">
      <c r="A334" s="7" t="inlineStr">
        <is>
          <t>TC-MCH-023</t>
        </is>
      </c>
      <c r="B334" s="7" t="inlineStr">
        <is>
          <t>L3</t>
        </is>
      </c>
      <c r="C334" s="8" t="inlineStr">
        <is>
          <t>All path-to-port RAS cases work in MCH</t>
        </is>
      </c>
      <c r="D334" t="inlineStr">
        <is>
          <t>Yes</t>
        </is>
      </c>
      <c r="I334" s="21" t="inlineStr">
        <is>
          <t>MCH rack (18-link) + AFM API + compute SSH</t>
        </is>
      </c>
      <c r="J334" s="21" t="inlineStr">
        <is>
          <t>Switch + Compute</t>
        </is>
      </c>
      <c r="K334" s="21" t="inlineStr">
        <is>
          <t>BKC-26.12 plan</t>
        </is>
      </c>
      <c r="L334" t="inlineStr">
        <is>
          <t>Disruptive</t>
        </is>
      </c>
    </row>
    <row r="335" hidden="1" ht="32" customHeight="1" s="33">
      <c r="A335" s="7" t="inlineStr">
        <is>
          <t>TC-MCH-024</t>
        </is>
      </c>
      <c r="B335" s="7" t="inlineStr">
        <is>
          <t>L3</t>
        </is>
      </c>
      <c r="C335" s="8" t="inlineStr">
        <is>
          <t>Link drain, activate, and port list work and use only the 18 ports</t>
        </is>
      </c>
      <c r="D335" t="inlineStr">
        <is>
          <t>Yes</t>
        </is>
      </c>
      <c r="I335" s="21" t="inlineStr">
        <is>
          <t>MCH rack (18-link) + AFM API + compute SSH</t>
        </is>
      </c>
      <c r="J335" s="21" t="inlineStr">
        <is>
          <t>Switch + Compute</t>
        </is>
      </c>
      <c r="K335" s="21" t="inlineStr">
        <is>
          <t>BKC-26.12 plan</t>
        </is>
      </c>
      <c r="L335" t="inlineStr">
        <is>
          <t>Disruptive</t>
        </is>
      </c>
    </row>
    <row r="336" hidden="1" ht="32" customHeight="1" s="33">
      <c r="A336" s="7" t="inlineStr">
        <is>
          <t>TC-MCH-025</t>
        </is>
      </c>
      <c r="B336" s="7" t="inlineStr">
        <is>
          <t>L3</t>
        </is>
      </c>
      <c r="C336" s="8" t="inlineStr">
        <is>
          <t>PathToPort mask bit positions are preserved (same as MI450)</t>
        </is>
      </c>
      <c r="D336" t="inlineStr">
        <is>
          <t>Yes</t>
        </is>
      </c>
      <c r="F336" t="inlineStr">
        <is>
          <t>N/A</t>
        </is>
      </c>
      <c r="H336" t="inlineStr">
        <is>
          <t>[14 Oct 2026] N/A on g02-g17: not an MCH rack (sideband control mode, standard QFX5252 fabric, no heliosmch / 18-link MCH station layout). Runs on an MCH rack.</t>
        </is>
      </c>
      <c r="I336" s="21" t="inlineStr">
        <is>
          <t>MCH rack (18-link) + AFM API + compute SSH</t>
        </is>
      </c>
      <c r="J336" s="21" t="inlineStr">
        <is>
          <t>Switch + Compute</t>
        </is>
      </c>
      <c r="K336" s="21" t="inlineStr">
        <is>
          <t>BKC-26.12 plan</t>
        </is>
      </c>
      <c r="L336" t="inlineStr">
        <is>
          <t>Non-disruptive</t>
        </is>
      </c>
    </row>
    <row r="337" hidden="1" ht="32" customHeight="1" s="33">
      <c r="A337" s="7" t="inlineStr">
        <is>
          <t>TC-MCH-026</t>
        </is>
      </c>
      <c r="B337" s="7" t="inlineStr">
        <is>
          <t>L3</t>
        </is>
      </c>
      <c r="C337" s="8" t="inlineStr">
        <is>
          <t>[Link] Link flap per station type (MCH: 2-port and 1-port stations) - the path-to-port mapping recovers</t>
        </is>
      </c>
      <c r="D337" t="inlineStr">
        <is>
          <t>Yes</t>
        </is>
      </c>
      <c r="I337" s="21" t="inlineStr">
        <is>
          <t>MCH rack (18-link) + AFM API + switch + compute SSH</t>
        </is>
      </c>
      <c r="J337" s="21" t="inlineStr">
        <is>
          <t>Switch + Compute</t>
        </is>
      </c>
      <c r="K337" s="21" t="inlineStr">
        <is>
          <t>BKC-26.12 plan</t>
        </is>
      </c>
      <c r="L337" t="inlineStr">
        <is>
          <t>Disruptive</t>
        </is>
      </c>
    </row>
    <row r="338" hidden="1" ht="32" customHeight="1" s="33">
      <c r="A338" s="7" t="inlineStr">
        <is>
          <t>TC-MCH-028</t>
        </is>
      </c>
      <c r="B338" s="7" t="inlineStr">
        <is>
          <t>L3</t>
        </is>
      </c>
      <c r="C338" s="8" t="inlineStr">
        <is>
          <t>AFM pushes no config and enables no PathToPort for disabled ports</t>
        </is>
      </c>
      <c r="D338" t="inlineStr">
        <is>
          <t>Yes</t>
        </is>
      </c>
      <c r="F338" t="inlineStr">
        <is>
          <t>N/A</t>
        </is>
      </c>
      <c r="H338" t="inlineStr">
        <is>
          <t>[14 Oct 2026] N/A on g02-g17: not an MCH rack (sideband control mode, standard QFX5252 fabric, no heliosmch / 18-link MCH station layout). Runs on an MCH rack.</t>
        </is>
      </c>
      <c r="I338" s="21" t="inlineStr">
        <is>
          <t>MCH rack (18-link) + AFM API + compute SSH</t>
        </is>
      </c>
      <c r="J338" s="21" t="inlineStr">
        <is>
          <t>Switch + Compute</t>
        </is>
      </c>
      <c r="K338" s="21" t="inlineStr">
        <is>
          <t>BKC-26.12 plan</t>
        </is>
      </c>
      <c r="L338" t="inlineStr">
        <is>
          <t>Non-disruptive</t>
        </is>
      </c>
    </row>
    <row r="339" hidden="1" ht="32" customHeight="1" s="33">
      <c r="A339" s="7" t="inlineStr">
        <is>
          <t>TC-MCH-030</t>
        </is>
      </c>
      <c r="B339" s="7" t="inlineStr">
        <is>
          <t>L3</t>
        </is>
      </c>
      <c r="C339" s="8" t="inlineStr">
        <is>
          <t>Switch/compute lifecycle works without any changes in MCH</t>
        </is>
      </c>
      <c r="D339" t="inlineStr">
        <is>
          <t>Yes</t>
        </is>
      </c>
      <c r="I339" s="21" t="inlineStr">
        <is>
          <t>MCH rack (18-link) + AFM API + switch + compute SSH</t>
        </is>
      </c>
      <c r="J339" s="21" t="inlineStr">
        <is>
          <t>Switch + Compute</t>
        </is>
      </c>
      <c r="K339" s="21" t="inlineStr">
        <is>
          <t>BKC-26.12 plan</t>
        </is>
      </c>
      <c r="L339" t="inlineStr">
        <is>
          <t>Disruptive</t>
        </is>
      </c>
    </row>
    <row r="340" hidden="1" ht="32" customHeight="1" s="33">
      <c r="A340" s="7" t="inlineStr">
        <is>
          <t>TC-MCH-031</t>
        </is>
      </c>
      <c r="B340" s="7" t="inlineStr">
        <is>
          <t>L3</t>
        </is>
      </c>
      <c r="C340" s="8" t="inlineStr">
        <is>
          <t>vPOD lifecycle is unchanged, updated to work with 18 links</t>
        </is>
      </c>
      <c r="D340" t="inlineStr">
        <is>
          <t>Yes</t>
        </is>
      </c>
      <c r="I340" s="21" t="inlineStr">
        <is>
          <t>MCH rack (18-link) + AFM API (disruptive)</t>
        </is>
      </c>
      <c r="J340" s="21" t="inlineStr">
        <is>
          <t>Switch + Compute</t>
        </is>
      </c>
      <c r="K340" s="21" t="inlineStr">
        <is>
          <t>BKC-26.12 plan</t>
        </is>
      </c>
      <c r="L340" t="inlineStr">
        <is>
          <t>Disruptive</t>
        </is>
      </c>
    </row>
    <row r="341" hidden="1" ht="32" customHeight="1" s="33">
      <c r="A341" s="7" t="inlineStr">
        <is>
          <t>TC-MCH-032</t>
        </is>
      </c>
      <c r="B341" s="7" t="inlineStr">
        <is>
          <t>L3</t>
        </is>
      </c>
      <c r="C341" s="8" t="inlineStr">
        <is>
          <t>Compute node reconfigure and vPOD reconcile work in MCH</t>
        </is>
      </c>
      <c r="D341" t="inlineStr">
        <is>
          <t>Yes</t>
        </is>
      </c>
      <c r="I341" s="21" t="inlineStr">
        <is>
          <t>MCH rack (18-link) + AFM API + compute SSH</t>
        </is>
      </c>
      <c r="J341" s="21" t="inlineStr">
        <is>
          <t>Switch + Compute</t>
        </is>
      </c>
      <c r="K341" s="21" t="inlineStr">
        <is>
          <t>BKC-26.12 plan</t>
        </is>
      </c>
      <c r="L341" t="inlineStr">
        <is>
          <t>Disruptive</t>
        </is>
      </c>
    </row>
    <row r="342" hidden="1" ht="32" customHeight="1" s="33">
      <c r="A342" s="7" t="inlineStr">
        <is>
          <t>TC-MCH-033</t>
        </is>
      </c>
      <c r="B342" s="7" t="inlineStr">
        <is>
          <t>L3</t>
        </is>
      </c>
      <c r="C342" s="8" t="inlineStr">
        <is>
          <t>MCH partial bring-up (&lt;18 links) -&gt; vPOD not online / marked degraded</t>
        </is>
      </c>
      <c r="D342" t="inlineStr">
        <is>
          <t>Yes</t>
        </is>
      </c>
      <c r="I342" s="21" t="inlineStr">
        <is>
          <t>MCH rack (18-link) + AFM API + switch + compute SSH</t>
        </is>
      </c>
      <c r="J342" s="21" t="inlineStr">
        <is>
          <t>Switch + Compute</t>
        </is>
      </c>
      <c r="K342" s="21" t="inlineStr">
        <is>
          <t>BKC-26.12 plan</t>
        </is>
      </c>
      <c r="L342" t="inlineStr">
        <is>
          <t>Disruptive</t>
        </is>
      </c>
    </row>
    <row r="343" hidden="1" ht="32" customHeight="1" s="33">
      <c r="A343" s="7" t="inlineStr">
        <is>
          <t>TC-MCH-034</t>
        </is>
      </c>
      <c r="B343" s="7" t="inlineStr">
        <is>
          <t>L3</t>
        </is>
      </c>
      <c r="C343" s="8" t="inlineStr">
        <is>
          <t>One of the 18 switching planes down -&gt; vPOD goes degraded</t>
        </is>
      </c>
      <c r="D343" t="inlineStr">
        <is>
          <t>Yes</t>
        </is>
      </c>
      <c r="I343" s="21" t="inlineStr">
        <is>
          <t>MCH rack (18-link) + AFM API + switch + compute SSH</t>
        </is>
      </c>
      <c r="J343" s="21" t="inlineStr">
        <is>
          <t>Switch + Compute</t>
        </is>
      </c>
      <c r="K343" s="21" t="inlineStr">
        <is>
          <t>BKC-26.12 plan</t>
        </is>
      </c>
      <c r="L343" t="inlineStr">
        <is>
          <t>Disruptive</t>
        </is>
      </c>
    </row>
    <row r="344" hidden="1" ht="32" customHeight="1" s="33">
      <c r="A344" s="7" t="inlineStr">
        <is>
          <t>TC-MCH-039</t>
        </is>
      </c>
      <c r="B344" s="7" t="inlineStr">
        <is>
          <t>L3</t>
        </is>
      </c>
      <c r="C344" s="8" t="inlineStr">
        <is>
          <t>[Link] Link flap / down on unused ports (MCH) - no AFM event is raised</t>
        </is>
      </c>
      <c r="D344" t="inlineStr">
        <is>
          <t>Yes</t>
        </is>
      </c>
      <c r="I344" s="21" t="inlineStr">
        <is>
          <t>MCH rack (18-link) + AFM API + switch SSH</t>
        </is>
      </c>
      <c r="J344" s="21" t="inlineStr">
        <is>
          <t>Switch + Compute</t>
        </is>
      </c>
      <c r="K344" s="21" t="inlineStr">
        <is>
          <t>BKC-26.12 plan</t>
        </is>
      </c>
      <c r="L344" t="inlineStr">
        <is>
          <t>Disruptive</t>
        </is>
      </c>
    </row>
    <row r="345" hidden="1" ht="32" customHeight="1" s="33">
      <c r="A345" s="7" t="inlineStr">
        <is>
          <t>TC-MCH-040</t>
        </is>
      </c>
      <c r="B345" s="7" t="inlineStr">
        <is>
          <t>L3</t>
        </is>
      </c>
      <c r="C345" s="8" t="inlineStr">
        <is>
          <t>[Link] Link down on a used link (MCH) - the lane bitmask is updated among the 18 used links</t>
        </is>
      </c>
      <c r="D345" t="inlineStr">
        <is>
          <t>Yes</t>
        </is>
      </c>
      <c r="I345" s="21" t="inlineStr">
        <is>
          <t>MCH rack (18-link) + AFM API + switch + compute SSH</t>
        </is>
      </c>
      <c r="J345" s="21" t="inlineStr">
        <is>
          <t>Switch + Compute</t>
        </is>
      </c>
      <c r="K345" s="21" t="inlineStr">
        <is>
          <t>BKC-26.12 plan</t>
        </is>
      </c>
      <c r="L345" t="inlineStr">
        <is>
          <t>Disruptive</t>
        </is>
      </c>
    </row>
    <row r="346" hidden="1" ht="32" customHeight="1" s="33">
      <c r="A346" s="7" t="inlineStr">
        <is>
          <t>TC-MCH-043</t>
        </is>
      </c>
      <c r="B346" s="7" t="inlineStr">
        <is>
          <t>L3</t>
        </is>
      </c>
      <c r="C346" s="8" t="inlineStr">
        <is>
          <t>No RAS/health event or telemetry alarm is raised for disabled stations/ports</t>
        </is>
      </c>
      <c r="D346" t="inlineStr">
        <is>
          <t>Yes</t>
        </is>
      </c>
      <c r="F346" t="inlineStr">
        <is>
          <t>N/A</t>
        </is>
      </c>
      <c r="H346" t="inlineStr">
        <is>
          <t>[14 Oct 2026] N/A on g02-g17: not an MCH rack (sideband control mode, standard QFX5252 fabric, no heliosmch / 18-link MCH station layout). Runs on an MCH rack.</t>
        </is>
      </c>
      <c r="I346" s="21" t="inlineStr">
        <is>
          <t>MCH rack (18-link) + AFM API</t>
        </is>
      </c>
      <c r="J346" s="21" t="inlineStr">
        <is>
          <t>Switch + Compute</t>
        </is>
      </c>
      <c r="K346" s="21" t="inlineStr">
        <is>
          <t>BKC-26.12 plan</t>
        </is>
      </c>
      <c r="L346" t="inlineStr">
        <is>
          <t>Non-disruptive</t>
        </is>
      </c>
    </row>
    <row r="347" hidden="1" ht="32" customHeight="1" s="33">
      <c r="A347" s="7" t="inlineStr">
        <is>
          <t>TC-MCH-044</t>
        </is>
      </c>
      <c r="B347" s="7" t="inlineStr">
        <is>
          <t>L3</t>
        </is>
      </c>
      <c r="C347" s="8" t="inlineStr">
        <is>
          <t>Events for used ports carry MI450-consistent port identifiers</t>
        </is>
      </c>
      <c r="D347" t="inlineStr">
        <is>
          <t>Yes</t>
        </is>
      </c>
      <c r="I347" s="21" t="inlineStr">
        <is>
          <t>MCH rack (18-link) + AFM API + switch + compute SSH</t>
        </is>
      </c>
      <c r="J347" s="21" t="inlineStr">
        <is>
          <t>Switch + Compute</t>
        </is>
      </c>
      <c r="K347" s="21" t="inlineStr">
        <is>
          <t>BKC-26.12 plan</t>
        </is>
      </c>
      <c r="L347" t="inlineStr">
        <is>
          <t>Disruptive</t>
        </is>
      </c>
    </row>
    <row r="348" hidden="1" ht="32" customHeight="1" s="33">
      <c r="A348" s="7" t="inlineStr">
        <is>
          <t>TC-MCH-045</t>
        </is>
      </c>
      <c r="B348" s="7" t="inlineStr">
        <is>
          <t>L3</t>
        </is>
      </c>
      <c r="C348" s="8" t="inlineStr">
        <is>
          <t>Traffic/IFoE streams run correctly over the 18 used links in MCH</t>
        </is>
      </c>
      <c r="D348" t="inlineStr">
        <is>
          <t>Yes</t>
        </is>
      </c>
      <c r="F348" t="inlineStr">
        <is>
          <t>N/A</t>
        </is>
      </c>
      <c r="H348" t="inlineStr">
        <is>
          <t>[14 Oct 2026] N/A on g02-g17: not an MCH rack (sideband control mode, standard QFX5252 fabric, no heliosmch / 18-link MCH station layout). Runs on an MCH rack.</t>
        </is>
      </c>
      <c r="I348" s="21" t="inlineStr">
        <is>
          <t>MCH rack (18-link) + AFM API + compute SSH + datapath traffic</t>
        </is>
      </c>
      <c r="J348" s="21" t="inlineStr">
        <is>
          <t>Switch + Compute</t>
        </is>
      </c>
      <c r="K348" s="21" t="inlineStr">
        <is>
          <t>BKC-26.12 plan</t>
        </is>
      </c>
      <c r="L348" t="inlineStr">
        <is>
          <t>Non-disruptive</t>
        </is>
      </c>
    </row>
    <row r="349" hidden="1" ht="32" customHeight="1" s="33">
      <c r="A349" s="7" t="inlineStr">
        <is>
          <t>TC-MCH-047</t>
        </is>
      </c>
      <c r="B349" s="7" t="inlineStr">
        <is>
          <t>L3</t>
        </is>
      </c>
      <c r="C349" s="8" t="inlineStr">
        <is>
          <t>Throughput with 18 links matches expected MCH bandwidth</t>
        </is>
      </c>
      <c r="D349" t="inlineStr">
        <is>
          <t>Yes</t>
        </is>
      </c>
      <c r="F349" t="inlineStr">
        <is>
          <t>N/A</t>
        </is>
      </c>
      <c r="H349" t="inlineStr">
        <is>
          <t>[14 Oct 2026] N/A on g02-g17: not an MCH rack (sideband control mode, standard QFX5252 fabric, no heliosmch / 18-link MCH station layout). Runs on an MCH rack.</t>
        </is>
      </c>
      <c r="I349" s="21" t="inlineStr">
        <is>
          <t>MCH rack (18-link) + AFM API + compute SSH + datapath traffic</t>
        </is>
      </c>
      <c r="J349" s="21" t="inlineStr">
        <is>
          <t>Switch + Compute</t>
        </is>
      </c>
      <c r="K349" s="21" t="inlineStr">
        <is>
          <t>BKC-26.12 plan</t>
        </is>
      </c>
      <c r="L349" t="inlineStr">
        <is>
          <t>Non-disruptive</t>
        </is>
      </c>
    </row>
    <row r="350" hidden="1" ht="32" customHeight="1" s="33">
      <c r="A350" s="7" t="inlineStr">
        <is>
          <t>TC-MCH-048</t>
        </is>
      </c>
      <c r="B350" s="7" t="inlineStr">
        <is>
          <t>L3</t>
        </is>
      </c>
      <c r="C350" s="8" t="inlineStr">
        <is>
          <t>Disabled ports appear in telemetry inventory but report no data</t>
        </is>
      </c>
      <c r="D350" t="inlineStr">
        <is>
          <t>Yes</t>
        </is>
      </c>
      <c r="F350" t="inlineStr">
        <is>
          <t>N/A</t>
        </is>
      </c>
      <c r="H350" t="inlineStr">
        <is>
          <t>[14 Oct 2026] N/A on g02-g17: not an MCH rack (sideband control mode, standard QFX5252 fabric, no heliosmch / 18-link MCH station layout). Runs on an MCH rack.</t>
        </is>
      </c>
      <c r="I350" s="21" t="inlineStr">
        <is>
          <t>MCH rack (18-link) + AFM API + compute SSH</t>
        </is>
      </c>
      <c r="J350" s="21" t="inlineStr">
        <is>
          <t>Switch + Compute</t>
        </is>
      </c>
      <c r="K350" s="21" t="inlineStr">
        <is>
          <t>BKC-26.12 plan</t>
        </is>
      </c>
      <c r="L350" t="inlineStr">
        <is>
          <t>Non-disruptive</t>
        </is>
      </c>
    </row>
    <row r="351" hidden="1" ht="32" customHeight="1" s="33">
      <c r="A351" s="7" t="inlineStr">
        <is>
          <t>TC-MCH-050</t>
        </is>
      </c>
      <c r="B351" s="7" t="inlineStr">
        <is>
          <t>L3</t>
        </is>
      </c>
      <c r="C351" s="8" t="inlineStr">
        <is>
          <t>UI supports topology view for both new rack types (heliosmch, heliosmchmini)</t>
        </is>
      </c>
      <c r="D351" t="inlineStr">
        <is>
          <t>No</t>
        </is>
      </c>
      <c r="F351" t="inlineStr">
        <is>
          <t>NA</t>
        </is>
      </c>
      <c r="H351" t="inlineStr">
        <is>
          <t>[Not automated, 15 Oct 2026] Reason: needs lab equipment / setup (An MCH rack (heliosmch / heliosmchmini, 18-link topology)). Needed (from AMD / lab): 37 automated. Neither MR3 nor g02-g17 is MCH. When can we get time on one? Please confirm the lane-mask digit order (station 0 first?) and where the mask is read on the tray (we assume /sys/bus/pci/devices/&lt;bdf&gt;/ualink/station_lane_en_bitmap ), the expected 18-link TransferBench bandwidth, and the mock IFoE driver and bootstrap commands. MCH-050 (UI) and MCH-058 (ambiguous) are not automated. (details: docs/amd-inputs.html in helios-tests)</t>
        </is>
      </c>
      <c r="I351" s="21" t="inlineStr">
        <is>
          <t>MCH rack (18-link) + AFM API + SSH</t>
        </is>
      </c>
      <c r="J351" s="21" t="inlineStr">
        <is>
          <t>Switch + Compute</t>
        </is>
      </c>
      <c r="K351" s="21" t="inlineStr">
        <is>
          <t>BKC-26.12 plan</t>
        </is>
      </c>
      <c r="L351" t="inlineStr">
        <is>
          <t>Non-disruptive (est.)</t>
        </is>
      </c>
    </row>
    <row r="352" hidden="1" ht="32" customHeight="1" s="33">
      <c r="A352" s="7" t="inlineStr">
        <is>
          <t>TC-MCH-053</t>
        </is>
      </c>
      <c r="B352" s="7" t="inlineStr">
        <is>
          <t>L3</t>
        </is>
      </c>
      <c r="C352" s="8" t="inlineStr">
        <is>
          <t>18-link topology and path-to-port map persist across AFM controller restart</t>
        </is>
      </c>
      <c r="D352" t="inlineStr">
        <is>
          <t>Yes</t>
        </is>
      </c>
      <c r="I352" s="21" t="inlineStr">
        <is>
          <t>MCH rack (18-link) + AFM API + switch + compute SSH</t>
        </is>
      </c>
      <c r="J352" s="21" t="inlineStr">
        <is>
          <t>Switch + Compute</t>
        </is>
      </c>
      <c r="K352" s="21" t="inlineStr">
        <is>
          <t>BKC-26.12 plan</t>
        </is>
      </c>
      <c r="L352" t="inlineStr">
        <is>
          <t>Disruptive</t>
        </is>
      </c>
    </row>
    <row r="353" hidden="1" ht="32" customHeight="1" s="33">
      <c r="A353" s="7" t="inlineStr">
        <is>
          <t>TC-MCH-054</t>
        </is>
      </c>
      <c r="B353" s="7" t="inlineStr">
        <is>
          <t>L3</t>
        </is>
      </c>
      <c r="C353" s="8" t="inlineStr">
        <is>
          <t>AFM upgrade preserves MCH rack type and 18-link topology</t>
        </is>
      </c>
      <c r="D353" t="inlineStr">
        <is>
          <t>Yes</t>
        </is>
      </c>
      <c r="I353" s="21" t="inlineStr">
        <is>
          <t>MCH rack (18-link) + AFM API + switch + compute SSH</t>
        </is>
      </c>
      <c r="J353" s="21" t="inlineStr">
        <is>
          <t>Switch + Compute</t>
        </is>
      </c>
      <c r="K353" s="21" t="inlineStr">
        <is>
          <t>BKC-26.12 plan</t>
        </is>
      </c>
      <c r="L353" t="inlineStr">
        <is>
          <t>Disruptive</t>
        </is>
      </c>
    </row>
    <row r="354" hidden="1" ht="32" customHeight="1" s="33">
      <c r="A354" s="7" t="inlineStr">
        <is>
          <t>TC-MCH-055</t>
        </is>
      </c>
      <c r="B354" s="7" t="inlineStr">
        <is>
          <t>L3</t>
        </is>
      </c>
      <c r="C354" s="8" t="inlineStr">
        <is>
          <t>Disabled/unused port state persists across AFM restart, compute restart, and snapshot recovery</t>
        </is>
      </c>
      <c r="D354" t="inlineStr">
        <is>
          <t>Yes</t>
        </is>
      </c>
      <c r="I354" s="21" t="inlineStr">
        <is>
          <t>MCH rack (18-link) + AFM API + switch + compute SSH</t>
        </is>
      </c>
      <c r="J354" s="21" t="inlineStr">
        <is>
          <t>Switch + Compute</t>
        </is>
      </c>
      <c r="K354" s="21" t="inlineStr">
        <is>
          <t>BKC-26.12 plan</t>
        </is>
      </c>
      <c r="L354" t="inlineStr">
        <is>
          <t>Disruptive</t>
        </is>
      </c>
    </row>
    <row r="355" hidden="1" ht="32" customHeight="1" s="33">
      <c r="A355" s="7" t="inlineStr">
        <is>
          <t>TC-MCH-058</t>
        </is>
      </c>
      <c r="B355" s="7" t="inlineStr">
        <is>
          <t>L3</t>
        </is>
      </c>
      <c r="C355" s="8" t="inlineStr">
        <is>
          <t>Each VLAN must have 18 MAC entries instead of 36 in mac table</t>
        </is>
      </c>
      <c r="D355" t="inlineStr">
        <is>
          <t>No</t>
        </is>
      </c>
      <c r="F355" t="inlineStr">
        <is>
          <t>NA</t>
        </is>
      </c>
      <c r="H355" t="inlineStr">
        <is>
          <t>[Not automated, 15 Oct 2026] Reason: needs lab equipment / setup (An MCH rack (heliosmch / heliosmchmini, 18-link topology)). Needed (from AMD / lab): 37 automated. Neither MR3 nor g02-g17 is MCH. When can we get time on one? Please confirm the lane-mask digit order (station 0 first?) and where the mask is read on the tray (we assume /sys/bus/pci/devices/&lt;bdf&gt;/ualink/station_lane_en_bitmap ), the expected 18-link TransferBench bandwidth, and the mock IFoE driver and bootstrap commands. MCH-050 (UI) and MCH-058 (ambiguous) are not automated. (details: docs/amd-inputs.html in helios-tests)</t>
        </is>
      </c>
      <c r="I355" s="21" t="inlineStr">
        <is>
          <t>MCH rack (18-link) + AFM API + SSH</t>
        </is>
      </c>
      <c r="J355" s="21" t="inlineStr">
        <is>
          <t>Switch + Compute</t>
        </is>
      </c>
      <c r="K355" s="21" t="inlineStr">
        <is>
          <t>BKC-26.12 plan</t>
        </is>
      </c>
      <c r="L355" t="inlineStr">
        <is>
          <t>Non-disruptive (est.)</t>
        </is>
      </c>
    </row>
    <row r="356" hidden="1" ht="32" customHeight="1" s="33">
      <c r="A356" s="7" t="inlineStr">
        <is>
          <t>TC-MCH-060</t>
        </is>
      </c>
      <c r="B356" s="7" t="inlineStr">
        <is>
          <t>L3</t>
        </is>
      </c>
      <c r="C356" s="8" t="inlineStr">
        <is>
          <t>Mini Rack must have 144 ports in trunk and priority tagged</t>
        </is>
      </c>
      <c r="D356" t="inlineStr">
        <is>
          <t>Yes</t>
        </is>
      </c>
      <c r="F356" t="inlineStr">
        <is>
          <t>N/A</t>
        </is>
      </c>
      <c r="H356" t="inlineStr">
        <is>
          <t>[14 Oct 2026] N/A on g02-g17: not an MCH rack (sideband control mode, standard QFX5252 fabric, no heliosmch / 18-link MCH station layout). Runs on an MCH rack.</t>
        </is>
      </c>
      <c r="I356" s="21" t="inlineStr">
        <is>
          <t>MCH rack (18-link) + AFM API + switch SSH</t>
        </is>
      </c>
      <c r="J356" s="21" t="inlineStr">
        <is>
          <t>Switch + Compute</t>
        </is>
      </c>
      <c r="K356" s="21" t="inlineStr">
        <is>
          <t>BKC-26.12 plan</t>
        </is>
      </c>
      <c r="L356" t="inlineStr">
        <is>
          <t>Non-disruptive</t>
        </is>
      </c>
    </row>
    <row r="357" hidden="1" ht="32" customHeight="1" s="33">
      <c r="A357" s="7" t="inlineStr">
        <is>
          <t>TC-MCH-062</t>
        </is>
      </c>
      <c r="B357" s="7" t="inlineStr">
        <is>
          <t>L3</t>
        </is>
      </c>
      <c r="C357" s="8" t="inlineStr">
        <is>
          <t>VLAN, port and MAC config on vPOD CRUD</t>
        </is>
      </c>
      <c r="D357" t="inlineStr">
        <is>
          <t>Yes</t>
        </is>
      </c>
      <c r="I357" s="21" t="inlineStr">
        <is>
          <t>MCH rack (18-link) + AFM API + switch SSH</t>
        </is>
      </c>
      <c r="J357" s="21" t="inlineStr">
        <is>
          <t>Switch + Compute</t>
        </is>
      </c>
      <c r="K357" s="21" t="inlineStr">
        <is>
          <t>BKC-26.12 plan</t>
        </is>
      </c>
      <c r="L357" t="inlineStr">
        <is>
          <t>Disruptive</t>
        </is>
      </c>
    </row>
    <row r="358" hidden="1" ht="32" customHeight="1" s="33">
      <c r="A358" s="7" t="inlineStr">
        <is>
          <t>TC-MCH-063</t>
        </is>
      </c>
      <c r="B358" s="7" t="inlineStr">
        <is>
          <t>L3</t>
        </is>
      </c>
      <c r="C358" s="8" t="inlineStr">
        <is>
          <t>Switch does not program VLAN/MAC/interfaces on disabled/unused lanes</t>
        </is>
      </c>
      <c r="D358" t="inlineStr">
        <is>
          <t>Yes</t>
        </is>
      </c>
      <c r="F358" t="inlineStr">
        <is>
          <t>N/A</t>
        </is>
      </c>
      <c r="H358" t="inlineStr">
        <is>
          <t>[14 Oct 2026] N/A on g02-g17: not an MCH rack (sideband control mode, standard QFX5252 fabric, no heliosmch / 18-link MCH station layout). Runs on an MCH rack.</t>
        </is>
      </c>
      <c r="I358" s="21" t="inlineStr">
        <is>
          <t>MCH rack (18-link) + AFM API + switch SSH</t>
        </is>
      </c>
      <c r="J358" s="21" t="inlineStr">
        <is>
          <t>Switch + Compute</t>
        </is>
      </c>
      <c r="K358" s="21" t="inlineStr">
        <is>
          <t>BKC-26.12 plan</t>
        </is>
      </c>
      <c r="L358" t="inlineStr">
        <is>
          <t>Non-disruptive</t>
        </is>
      </c>
    </row>
    <row r="359" hidden="1" ht="16" customHeight="1" s="33">
      <c r="A359" s="7" t="inlineStr">
        <is>
          <t>TC-NA-003</t>
        </is>
      </c>
      <c r="B359" s="7" t="inlineStr">
        <is>
          <t>L3</t>
        </is>
      </c>
      <c r="C359" s="8" t="inlineStr">
        <is>
          <t>Connectivity within GPUs of same compute node (tested for compute1)</t>
        </is>
      </c>
      <c r="D359" t="inlineStr">
        <is>
          <t>Yes</t>
        </is>
      </c>
      <c r="F359" t="inlineStr">
        <is>
          <t>PARTIAL</t>
        </is>
      </c>
      <c r="G359" t="inlineStr">
        <is>
          <t>SONiC.202505I20260915070938_x100.15; afm-agent/controller 202505I20260915070938_x100.15; ROCm 10.2.0a20260922</t>
        </is>
      </c>
      <c r="H359" t="inlineStr">
        <is>
          <t>[g02-g17 full rack, non-disruptive compute / switch+compute, 14 Oct 2026 19:34-19:47 UTC, helios-tests g02-g17-20261014-194703 (jump host)] PARTIAL: L2 ping within each compute passed on every tray the datapath pre-flight kept; excluded CT01 (GPUs in use by another team's job: /user/hpe/dtm/mlperf-poc gpu-flops) and CT02 (10.255.4.48), CT05 (10.255.4.51) and CT17 (10.255.4.63) unreachable (no SSH).</t>
        </is>
      </c>
      <c r="I359" s="21" t="inlineStr">
        <is>
          <t>Compute SSH + datapath traffic</t>
        </is>
      </c>
      <c r="J359" s="21" t="inlineStr">
        <is>
          <t>Compute</t>
        </is>
      </c>
      <c r="K359" s="21" t="inlineStr">
        <is>
          <t>BKC-26.12 plan</t>
        </is>
      </c>
      <c r="L359" t="inlineStr">
        <is>
          <t>Non-disruptive</t>
        </is>
      </c>
    </row>
    <row r="360" hidden="1" ht="16" customHeight="1" s="33">
      <c r="A360" s="7" t="inlineStr">
        <is>
          <t>TC-NA-004</t>
        </is>
      </c>
      <c r="B360" s="7" t="inlineStr">
        <is>
          <t>L3</t>
        </is>
      </c>
      <c r="C360" s="8" t="inlineStr">
        <is>
          <t>Connectivity between GPUs of different compute nodes in the default VPod</t>
        </is>
      </c>
      <c r="D360" t="inlineStr">
        <is>
          <t>Yes</t>
        </is>
      </c>
      <c r="F360" t="inlineStr">
        <is>
          <t>PARTIAL</t>
        </is>
      </c>
      <c r="G360" t="inlineStr">
        <is>
          <t>SONiC.202505I20260915070938_x100.15; afm-agent/controller 202505I20260915070938_x100.15; ROCm 10.2.0a20260922</t>
        </is>
      </c>
      <c r="H360" t="inlineStr">
        <is>
          <t>[g02-g17 full rack, non-disruptive compute / switch+compute, 14 Oct 2026 19:34-19:47 UTC, helios-tests g02-g17-20261014-194703 (jump host)] PARTIAL: L2 ping across computes passed on every tray the pre-flight kept; excluded CT01 (busy) and CT02 (10.255.4.48), CT05 (10.255.4.51) and CT17 (10.255.4.63) unreachable (no SSH).</t>
        </is>
      </c>
      <c r="I360" s="21" t="inlineStr">
        <is>
          <t>Compute SSH + datapath traffic</t>
        </is>
      </c>
      <c r="J360" s="21" t="inlineStr">
        <is>
          <t>Compute</t>
        </is>
      </c>
      <c r="K360" s="21" t="inlineStr">
        <is>
          <t>BKC-26.12 plan</t>
        </is>
      </c>
      <c r="L360" t="inlineStr">
        <is>
          <t>Non-disruptive</t>
        </is>
      </c>
    </row>
    <row r="361" hidden="1" ht="16" customHeight="1" s="33">
      <c r="A361" s="7" t="inlineStr">
        <is>
          <t>TC-NA-005</t>
        </is>
      </c>
      <c r="B361" s="7" t="inlineStr">
        <is>
          <t>L3</t>
        </is>
      </c>
      <c r="C361" s="8" t="inlineStr">
        <is>
          <t>For setup before transferbench cases look at transferbench computes pytest module</t>
        </is>
      </c>
      <c r="D361" t="inlineStr">
        <is>
          <t>Yes</t>
        </is>
      </c>
      <c r="F361" t="inlineStr">
        <is>
          <t>PARTIAL</t>
        </is>
      </c>
      <c r="G361" t="inlineStr">
        <is>
          <t>SONiC.202505I20260915070938_x100.15; afm-agent/controller 202505I20260915070938_x100.15; ROCm 10.2.0a20260922</t>
        </is>
      </c>
      <c r="H361" t="inlineStr">
        <is>
          <t>[g02-g17 full rack, 16 Oct 14:12 UTC, helios-tests g02-g17-20261016-141453] PARTIAL: TransferBench installed and runs on 16 trays, 184.9-195.4 GB/s (CT05 unreachable; CT01 left out by the pre-traffic ping probe - 1 request lost on ports 23/24; CT01 passed TC-AFM-002 at 14:03). TransferBench /opt/TransferBench/TransferBench (16 Oct: /usr/sbin/TransferBench -&gt; /opt/amdtools/transferbench/TransferBench segfaults at start, rc 139, and the link is missing on CT08/09/11-16).
Earlier: [g02-g17 full rack, non-disruptive compute / switch+compute, 14 Oct 2026 19:34-19:47 UTC, helios-tests g02-g17-20261014-194703 (jump host)] Pending (environment): TransferBench segfaults (rc -1/139) or is not installed (CT08, CT09, CT11-CT16) - see TC-AFM-002.</t>
        </is>
      </c>
      <c r="I361" s="21" t="inlineStr">
        <is>
          <t>Compute SSH + datapath traffic</t>
        </is>
      </c>
      <c r="J361" s="21" t="inlineStr">
        <is>
          <t>Compute</t>
        </is>
      </c>
      <c r="K361" s="21" t="inlineStr">
        <is>
          <t>BKC-26.12 plan</t>
        </is>
      </c>
      <c r="L361" t="inlineStr">
        <is>
          <t>Non-disruptive</t>
        </is>
      </c>
    </row>
    <row r="362" hidden="1" ht="16" customHeight="1" s="33">
      <c r="A362" s="7" t="inlineStr">
        <is>
          <t>TC-NA-006</t>
        </is>
      </c>
      <c r="B362" s="7" t="inlineStr">
        <is>
          <t>L3</t>
        </is>
      </c>
      <c r="C362" s="8" t="inlineStr">
        <is>
          <t>In-domain RCCL AllReduce: run all reduce perf on each compute tray</t>
        </is>
      </c>
      <c r="D362" t="inlineStr">
        <is>
          <t>Yes</t>
        </is>
      </c>
      <c r="F362" t="inlineStr">
        <is>
          <t>Pending</t>
        </is>
      </c>
      <c r="G362" t="inlineStr">
        <is>
          <t>SONiC.202505I20260915070938_x100.15; afm-agent/controller 202505I20260915070938_x100.15; ROCm 10.2.0a20260922</t>
        </is>
      </c>
      <c r="H362" t="inlineStr">
        <is>
          <t>[g02-g17 full rack, 16 Oct 13:54 UTC, helios-tests g02-g17-20261016-135436] Pending: rccl-tests (*_perf) not installed on any tray (only RcclSmokeTest / rccl-sweep); asked AMD which RCCL tool they use.
Earlier: [g02-g17 full rack, non-disruptive compute / switch+compute, 14 Oct 2026 19:34-19:47 UTC, helios-tests g02-g17-20261014-194703 (jump host)] Pending (environment): rccl-tests (*_perf) not installed, no in-domain RCCL command configured - see TC-AFM-004.</t>
        </is>
      </c>
      <c r="I362" s="21" t="inlineStr">
        <is>
          <t>Compute SSH + datapath traffic</t>
        </is>
      </c>
      <c r="J362" s="21" t="inlineStr">
        <is>
          <t>Compute</t>
        </is>
      </c>
      <c r="K362" s="21" t="inlineStr">
        <is>
          <t>BKC-26.12 plan</t>
        </is>
      </c>
      <c r="L362" t="inlineStr">
        <is>
          <t>Non-disruptive</t>
        </is>
      </c>
    </row>
    <row r="363" hidden="1" ht="16" customHeight="1" s="33">
      <c r="A363" s="7" t="inlineStr">
        <is>
          <t>TC-NA-013</t>
        </is>
      </c>
      <c r="B363" s="7" t="inlineStr">
        <is>
          <t>L3</t>
        </is>
      </c>
      <c r="C363" s="8" t="inlineStr">
        <is>
          <t>Force-decommission of compute in unhealthy, failed-decommission phase</t>
        </is>
      </c>
      <c r="D363" t="inlineStr">
        <is>
          <t>Yes</t>
        </is>
      </c>
      <c r="F363" t="inlineStr">
        <is>
          <t>PARTIAL</t>
        </is>
      </c>
      <c r="G363" t="inlineStr">
        <is>
          <t>AFM 0.1.0-AICC-817</t>
        </is>
      </c>
      <c r="H36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363" s="21" t="inlineStr">
        <is>
          <t>AFM API + switch SSH</t>
        </is>
      </c>
      <c r="J363" s="21" t="inlineStr">
        <is>
          <t>Switch</t>
        </is>
      </c>
      <c r="K363" s="21" t="inlineStr">
        <is>
          <t>BKC-26.12 plan</t>
        </is>
      </c>
      <c r="L363" t="inlineStr">
        <is>
          <t>Disruptive</t>
        </is>
      </c>
    </row>
    <row r="364" hidden="1" ht="32" customHeight="1" s="33">
      <c r="A364" s="7" t="inlineStr">
        <is>
          <t>TC-NA-016</t>
        </is>
      </c>
      <c r="B364" s="7" t="inlineStr">
        <is>
          <t>L3</t>
        </is>
      </c>
      <c r="C364" s="8" t="inlineStr">
        <is>
          <t>Updation of VPOD (change constituent computes)</t>
        </is>
      </c>
      <c r="D364" t="inlineStr">
        <is>
          <t>Yes</t>
        </is>
      </c>
      <c r="F364" t="inlineStr">
        <is>
          <t>PARTIAL</t>
        </is>
      </c>
      <c r="G364" t="inlineStr">
        <is>
          <t>AFM 0.1.0-AICC-817</t>
        </is>
      </c>
      <c r="H364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364" s="21" t="inlineStr">
        <is>
          <t>AFM API (disruptive)</t>
        </is>
      </c>
      <c r="J364" s="21" t="inlineStr">
        <is>
          <t>Switch (AFM API)</t>
        </is>
      </c>
      <c r="K364" s="21" t="inlineStr">
        <is>
          <t>BKC-26.12 plan</t>
        </is>
      </c>
      <c r="L364" t="inlineStr">
        <is>
          <t>Disruptive</t>
        </is>
      </c>
    </row>
    <row r="365" hidden="1" ht="16" customHeight="1" s="33">
      <c r="A365" s="7" t="inlineStr">
        <is>
          <t>TC-NA-018</t>
        </is>
      </c>
      <c r="B365" s="7" t="inlineStr">
        <is>
          <t>L3</t>
        </is>
      </c>
      <c r="C365" s="8" t="inlineStr">
        <is>
          <t>Re-add compute and verify acc ids re-usage</t>
        </is>
      </c>
      <c r="D365" t="inlineStr">
        <is>
          <t>Yes</t>
        </is>
      </c>
      <c r="F365" t="inlineStr">
        <is>
          <t>PARTIAL</t>
        </is>
      </c>
      <c r="G365" t="inlineStr">
        <is>
          <t>AFM 0.1.0-AICC-817</t>
        </is>
      </c>
      <c r="H36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365" s="21" t="inlineStr">
        <is>
          <t>AFM API + switch SSH</t>
        </is>
      </c>
      <c r="J365" s="21" t="inlineStr">
        <is>
          <t>Switch</t>
        </is>
      </c>
      <c r="K365" s="21" t="inlineStr">
        <is>
          <t>BKC-26.12 plan</t>
        </is>
      </c>
      <c r="L365" t="inlineStr">
        <is>
          <t>Disruptive</t>
        </is>
      </c>
    </row>
    <row r="366" hidden="1" ht="32" customHeight="1" s="33">
      <c r="A366" s="7" t="inlineStr">
        <is>
          <t>TC-NA-019</t>
        </is>
      </c>
      <c r="B366" s="7" t="inlineStr">
        <is>
          <t>L3</t>
        </is>
      </c>
      <c r="C366" s="8" t="inlineStr">
        <is>
          <t>VPOD addition and datapath after re-commission</t>
        </is>
      </c>
      <c r="D366" t="inlineStr">
        <is>
          <t>Yes</t>
        </is>
      </c>
      <c r="I366" s="21" t="inlineStr">
        <is>
          <t>AFM API + switch + compute SSH + datapath traffic</t>
        </is>
      </c>
      <c r="J366" s="21" t="inlineStr">
        <is>
          <t>Switch + Compute</t>
        </is>
      </c>
      <c r="K366" s="21" t="inlineStr">
        <is>
          <t>BKC-26.12 plan</t>
        </is>
      </c>
      <c r="L366" t="inlineStr">
        <is>
          <t>Disruptive</t>
        </is>
      </c>
    </row>
    <row r="367" hidden="1" ht="32" customHeight="1" s="33">
      <c r="A367" s="7" t="inlineStr">
        <is>
          <t>TC-NA-022</t>
        </is>
      </c>
      <c r="B367" s="7" t="inlineStr">
        <is>
          <t>L3</t>
        </is>
      </c>
      <c r="C367" s="8" t="inlineStr">
        <is>
          <t>Scale up Fabric reconfigure, when triggered, should be reported</t>
        </is>
      </c>
      <c r="D367" t="inlineStr">
        <is>
          <t>Yes</t>
        </is>
      </c>
      <c r="F367" t="inlineStr">
        <is>
          <t>FAIL</t>
        </is>
      </c>
      <c r="G367" t="inlineStr">
        <is>
          <t>AFM 0.1.0-AICC-817</t>
        </is>
      </c>
      <c r="H367" s="21" t="inlineStr">
        <is>
          <t>[g02-g17 disruptive switch/AFM, 17-18 Oct 2026] no event reporting the fabric reconfiguration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367" s="21" t="inlineStr">
        <is>
          <t>AFM API (disruptive)</t>
        </is>
      </c>
      <c r="J367" s="21" t="inlineStr">
        <is>
          <t>Switch (AFM API)</t>
        </is>
      </c>
      <c r="K367" s="21" t="inlineStr">
        <is>
          <t>BKC-26.12 plan</t>
        </is>
      </c>
      <c r="L367" t="inlineStr">
        <is>
          <t>Disruptive</t>
        </is>
      </c>
    </row>
    <row r="368" hidden="1" ht="16" customHeight="1" s="33">
      <c r="A368" s="7" t="inlineStr">
        <is>
          <t>TC-NA-024</t>
        </is>
      </c>
      <c r="B368" s="7" t="inlineStr">
        <is>
          <t>L3</t>
        </is>
      </c>
      <c r="C368" s="8" t="inlineStr">
        <is>
          <t>All states of compute (Admission state and Health state) like (New, Admitted) and (Healthy,…</t>
        </is>
      </c>
      <c r="D368" t="inlineStr">
        <is>
          <t>Yes</t>
        </is>
      </c>
      <c r="F368" t="inlineStr">
        <is>
          <t>PARTIAL</t>
        </is>
      </c>
      <c r="G368" t="inlineStr">
        <is>
          <t>AFM 0.1.0-AICC-817</t>
        </is>
      </c>
      <c r="H368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368" s="21" t="inlineStr">
        <is>
          <t>AFM API + switch SSH</t>
        </is>
      </c>
      <c r="J368" s="21" t="inlineStr">
        <is>
          <t>Switch</t>
        </is>
      </c>
      <c r="K368" s="21" t="inlineStr">
        <is>
          <t>BKC-26.12 plan</t>
        </is>
      </c>
      <c r="L368" t="inlineStr">
        <is>
          <t>Disruptive</t>
        </is>
      </c>
    </row>
    <row r="369" hidden="1" ht="32" customHeight="1" s="33">
      <c r="A369" s="7" t="inlineStr">
        <is>
          <t>TC-NA-040</t>
        </is>
      </c>
      <c r="B369" s="7" t="inlineStr">
        <is>
          <t>L3</t>
        </is>
      </c>
      <c r="C369" s="8" t="inlineStr">
        <is>
          <t>Reconfigure multiple/all computes (multi select in UI)</t>
        </is>
      </c>
      <c r="D369" t="inlineStr">
        <is>
          <t>Yes</t>
        </is>
      </c>
      <c r="F369" t="inlineStr">
        <is>
          <t>PARTIAL</t>
        </is>
      </c>
      <c r="G369" t="inlineStr">
        <is>
          <t>AFM 0.1.0-AICC-817</t>
        </is>
      </c>
      <c r="H369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369" s="21" t="inlineStr">
        <is>
          <t>AFM API (disruptive)</t>
        </is>
      </c>
      <c r="J369" s="21" t="inlineStr">
        <is>
          <t>Switch (AFM API)</t>
        </is>
      </c>
      <c r="K369" s="21" t="inlineStr">
        <is>
          <t>BKC-26.12 plan</t>
        </is>
      </c>
      <c r="L369" t="inlineStr">
        <is>
          <t>Disruptive</t>
        </is>
      </c>
    </row>
    <row r="370" hidden="1" ht="16" customHeight="1" s="33">
      <c r="A370" s="7" t="inlineStr">
        <is>
          <t>TC-NA-047</t>
        </is>
      </c>
      <c r="B370" s="7" t="inlineStr">
        <is>
          <t>L3</t>
        </is>
      </c>
      <c r="C370" s="8" t="inlineStr">
        <is>
          <t>Afmctl reset device when reconfiguration of compute</t>
        </is>
      </c>
      <c r="D370" t="inlineStr">
        <is>
          <t>Yes</t>
        </is>
      </c>
      <c r="I370" s="21" t="inlineStr">
        <is>
          <t>AFM API + compute SSH</t>
        </is>
      </c>
      <c r="J370" s="21" t="inlineStr">
        <is>
          <t>Compute</t>
        </is>
      </c>
      <c r="K370" s="21" t="inlineStr">
        <is>
          <t>BKC-26.12 plan</t>
        </is>
      </c>
      <c r="L370" t="inlineStr">
        <is>
          <t>Disruptive</t>
        </is>
      </c>
    </row>
    <row r="371" hidden="1" ht="16" customHeight="1" s="33">
      <c r="A371" s="7" t="inlineStr">
        <is>
          <t>TC-NA-048</t>
        </is>
      </c>
      <c r="B371" s="7" t="inlineStr">
        <is>
          <t>L3</t>
        </is>
      </c>
      <c r="C371" s="8" t="inlineStr">
        <is>
          <t>Accelerator addr, l2 ping, accelerator ID, vPOD accelerator checks after reconfigure</t>
        </is>
      </c>
      <c r="D371" t="inlineStr">
        <is>
          <t>Yes</t>
        </is>
      </c>
      <c r="I371" s="21" t="inlineStr">
        <is>
          <t>AFM API + compute SSH</t>
        </is>
      </c>
      <c r="J371" s="21" t="inlineStr">
        <is>
          <t>Compute</t>
        </is>
      </c>
      <c r="K371" s="21" t="inlineStr">
        <is>
          <t>BKC-26.12 plan</t>
        </is>
      </c>
      <c r="L371" t="inlineStr">
        <is>
          <t>Disruptive</t>
        </is>
      </c>
    </row>
    <row r="372" hidden="1" ht="32" customHeight="1" s="33">
      <c r="A372" s="7" t="inlineStr">
        <is>
          <t>TC-NA-049</t>
        </is>
      </c>
      <c r="B372" s="7" t="inlineStr">
        <is>
          <t>L3</t>
        </is>
      </c>
      <c r="C372" s="8" t="inlineStr">
        <is>
          <t>If reconfigure is allowed only when compute node is healthy or goes to healthy in UI</t>
        </is>
      </c>
      <c r="D372" t="inlineStr">
        <is>
          <t>Yes</t>
        </is>
      </c>
      <c r="I372" s="21" t="inlineStr">
        <is>
          <t>AFM API + switch + compute SSH</t>
        </is>
      </c>
      <c r="J372" s="21" t="inlineStr">
        <is>
          <t>Switch + Compute</t>
        </is>
      </c>
      <c r="K372" s="21" t="inlineStr">
        <is>
          <t>BKC-26.12 plan</t>
        </is>
      </c>
      <c r="L372" t="inlineStr">
        <is>
          <t>Disruptive</t>
        </is>
      </c>
    </row>
    <row r="373" hidden="1" ht="16" customHeight="1" s="33">
      <c r="A373" s="7" t="inlineStr">
        <is>
          <t>TC-NA-050</t>
        </is>
      </c>
      <c r="B373" s="7" t="inlineStr">
        <is>
          <t>L3</t>
        </is>
      </c>
      <c r="C373" s="8" t="inlineStr">
        <is>
          <t>Admit/ Readmit compute node, reconfigure while initial config is getting pushed</t>
        </is>
      </c>
      <c r="D373" t="inlineStr">
        <is>
          <t>Yes</t>
        </is>
      </c>
      <c r="F373" t="inlineStr">
        <is>
          <t>PARTIAL</t>
        </is>
      </c>
      <c r="G373" t="inlineStr">
        <is>
          <t>AFM 0.1.0-AICC-817</t>
        </is>
      </c>
      <c r="H373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373" s="21" t="inlineStr">
        <is>
          <t>AFM API + switch SSH</t>
        </is>
      </c>
      <c r="J373" s="21" t="inlineStr">
        <is>
          <t>Switch</t>
        </is>
      </c>
      <c r="K373" s="21" t="inlineStr">
        <is>
          <t>BKC-26.12 plan</t>
        </is>
      </c>
      <c r="L373" t="inlineStr">
        <is>
          <t>Disruptive</t>
        </is>
      </c>
    </row>
    <row r="374" hidden="1" ht="32" customHeight="1" s="33">
      <c r="A374" s="7" t="inlineStr">
        <is>
          <t>TC-SBM-001</t>
        </is>
      </c>
      <c r="B374" s="7" t="inlineStr">
        <is>
          <t>L3</t>
        </is>
      </c>
      <c r="C374" s="8" t="inlineStr">
        <is>
          <t>Sideband Topology and Session-Count Formulas</t>
        </is>
      </c>
      <c r="D374" t="inlineStr">
        <is>
          <t>Yes</t>
        </is>
      </c>
      <c r="H374" t="inlineStr">
        <is>
          <t>[Automated, 19 Oct 2026] tests/afm/test_afm_observability.py (read-only; passes on the fake racks, not yet run on a rack)
Earlier: 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74" s="21" t="inlineStr">
        <is>
          <t>Switch + compute SSH (est.)</t>
        </is>
      </c>
      <c r="J374" s="21" t="inlineStr">
        <is>
          <t>Switch + Compute</t>
        </is>
      </c>
      <c r="K374" s="21" t="inlineStr">
        <is>
          <t>BKC-26.12 plan</t>
        </is>
      </c>
      <c r="L374" t="inlineStr">
        <is>
          <t>Non-disruptive (est.)</t>
        </is>
      </c>
    </row>
    <row r="375" hidden="1" ht="32" customHeight="1" s="33">
      <c r="A375" s="7" t="inlineStr">
        <is>
          <t>TC-SBM-003</t>
        </is>
      </c>
      <c r="B375" s="7" t="inlineStr">
        <is>
          <t>L3</t>
        </is>
      </c>
      <c r="C375" s="8" t="inlineStr">
        <is>
          <t>SPDM Session Link Selection and Query API</t>
        </is>
      </c>
      <c r="D375" t="inlineStr">
        <is>
          <t>No</t>
        </is>
      </c>
      <c r="F375" t="inlineStr">
        <is>
          <t>NA</t>
        </is>
      </c>
      <c r="H375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75" s="21" t="inlineStr">
        <is>
          <t>Switch + compute SSH (est.)</t>
        </is>
      </c>
      <c r="J375" s="21" t="inlineStr">
        <is>
          <t>Switch + Compute</t>
        </is>
      </c>
      <c r="K375" s="21" t="inlineStr">
        <is>
          <t>BKC-26.12 plan</t>
        </is>
      </c>
      <c r="L375" t="inlineStr">
        <is>
          <t>Non-disruptive (est.)</t>
        </is>
      </c>
    </row>
    <row r="376" hidden="1" ht="32" customHeight="1" s="33">
      <c r="A376" s="7" t="inlineStr">
        <is>
          <t>TC-SBM-004</t>
        </is>
      </c>
      <c r="B376" s="7" t="inlineStr">
        <is>
          <t>L3</t>
        </is>
      </c>
      <c r="C376" s="8" t="inlineStr">
        <is>
          <t>IFCP Packet/Session Stats API (Host and Switch Side)</t>
        </is>
      </c>
      <c r="D376" t="inlineStr">
        <is>
          <t>No</t>
        </is>
      </c>
      <c r="F376" t="inlineStr">
        <is>
          <t>NA</t>
        </is>
      </c>
      <c r="H376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76" s="21" t="inlineStr">
        <is>
          <t>Switch + compute SSH (est.)</t>
        </is>
      </c>
      <c r="J376" s="21" t="inlineStr">
        <is>
          <t>Switch + Compute</t>
        </is>
      </c>
      <c r="K376" s="21" t="inlineStr">
        <is>
          <t>BKC-26.12 plan</t>
        </is>
      </c>
      <c r="L376" t="inlineStr">
        <is>
          <t>Non-disruptive (est.)</t>
        </is>
      </c>
    </row>
    <row r="377" hidden="1" ht="32" customHeight="1" s="33">
      <c r="A377" s="7" t="inlineStr">
        <is>
          <t>TC-SBM-006</t>
        </is>
      </c>
      <c r="B377" s="7" t="inlineStr">
        <is>
          <t>L3</t>
        </is>
      </c>
      <c r="C377" s="8" t="inlineStr">
        <is>
          <t>Concurrent Pairwise Process Restart Matrix</t>
        </is>
      </c>
      <c r="D377" t="inlineStr">
        <is>
          <t>Yes</t>
        </is>
      </c>
      <c r="I377" s="21" t="inlineStr">
        <is>
          <t>AFM API + switch SSH</t>
        </is>
      </c>
      <c r="J377" s="21" t="inlineStr">
        <is>
          <t>Switch + Compute</t>
        </is>
      </c>
      <c r="K377" s="21" t="inlineStr">
        <is>
          <t>BKC-26.12 plan</t>
        </is>
      </c>
      <c r="L377" t="inlineStr">
        <is>
          <t>Disruptive</t>
        </is>
      </c>
    </row>
    <row r="378" hidden="1" ht="32" customHeight="1" s="33">
      <c r="A378" s="7" t="inlineStr">
        <is>
          <t>TC-SBM-008</t>
        </is>
      </c>
      <c r="B378" s="7" t="inlineStr">
        <is>
          <t>L3</t>
        </is>
      </c>
      <c r="C378" s="8" t="inlineStr">
        <is>
          <t>Sb-node-agent Redistribution and Load-Balance on Switch Failure/Recovery</t>
        </is>
      </c>
      <c r="D378" t="inlineStr">
        <is>
          <t>Yes</t>
        </is>
      </c>
      <c r="I378" s="21" t="inlineStr">
        <is>
          <t>AFM API + switch SSH</t>
        </is>
      </c>
      <c r="J378" s="21" t="inlineStr">
        <is>
          <t>Switch + Compute</t>
        </is>
      </c>
      <c r="K378" s="21" t="inlineStr">
        <is>
          <t>BKC-26.12 plan</t>
        </is>
      </c>
      <c r="L378" t="inlineStr">
        <is>
          <t>Disruptive</t>
        </is>
      </c>
    </row>
    <row r="379" hidden="1" ht="32" customHeight="1" s="33">
      <c r="A379" s="7" t="inlineStr">
        <is>
          <t>TC-SBM-009</t>
        </is>
      </c>
      <c r="B379" s="7" t="inlineStr">
        <is>
          <t>L3</t>
        </is>
      </c>
      <c r="C379" s="8" t="inlineStr">
        <is>
          <t>[Link] Repeated switch flap - no role / assignment thrashing</t>
        </is>
      </c>
      <c r="D379" t="inlineStr">
        <is>
          <t>Yes</t>
        </is>
      </c>
      <c r="I379" s="21" t="inlineStr">
        <is>
          <t>AFM API + switch SSH</t>
        </is>
      </c>
      <c r="J379" s="21" t="inlineStr">
        <is>
          <t>Switch + Compute</t>
        </is>
      </c>
      <c r="K379" s="21" t="inlineStr">
        <is>
          <t>BKC-26.12 plan</t>
        </is>
      </c>
      <c r="L379" t="inlineStr">
        <is>
          <t>Disruptive</t>
        </is>
      </c>
    </row>
    <row r="380" ht="32" customHeight="1" s="33">
      <c r="A380" s="7" t="inlineStr">
        <is>
          <t>TC-SBM-010</t>
        </is>
      </c>
      <c r="B380" s="7" t="inlineStr">
        <is>
          <t>L3</t>
        </is>
      </c>
      <c r="C380" s="8" t="inlineStr">
        <is>
          <t>ASIC-Level SPDM Session Failover (Single ASIC Down)</t>
        </is>
      </c>
      <c r="D380" t="inlineStr">
        <is>
          <t>No</t>
        </is>
      </c>
      <c r="F380" s="18" t="inlineStr">
        <is>
          <t>NA</t>
        </is>
      </c>
      <c r="H380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80" s="21" t="inlineStr">
        <is>
          <t>Switch + compute SSH (est.)</t>
        </is>
      </c>
      <c r="J380" s="21" t="inlineStr">
        <is>
          <t>Switch + Compute</t>
        </is>
      </c>
      <c r="K380" s="21" t="inlineStr">
        <is>
          <t>BKC-26.12 plan</t>
        </is>
      </c>
      <c r="L380" t="inlineStr">
        <is>
          <t>Disruptive (est.)</t>
        </is>
      </c>
    </row>
    <row r="381" hidden="1" ht="32" customHeight="1" s="33">
      <c r="A381" s="7" t="inlineStr">
        <is>
          <t>TC-SBM-011</t>
        </is>
      </c>
      <c r="B381" s="7" t="inlineStr">
        <is>
          <t>L3</t>
        </is>
      </c>
      <c r="C381" s="8" t="inlineStr">
        <is>
          <t>Compute GPU-Set Migration Consistency (No Split Across Switches)</t>
        </is>
      </c>
      <c r="D381" t="inlineStr">
        <is>
          <t>Yes</t>
        </is>
      </c>
      <c r="I381" s="21" t="inlineStr">
        <is>
          <t>AFM API + switch SSH</t>
        </is>
      </c>
      <c r="J381" s="21" t="inlineStr">
        <is>
          <t>Switch + Compute</t>
        </is>
      </c>
      <c r="K381" s="21" t="inlineStr">
        <is>
          <t>BKC-26.12 plan</t>
        </is>
      </c>
      <c r="L381" t="inlineStr">
        <is>
          <t>Disruptive</t>
        </is>
      </c>
    </row>
    <row r="382" ht="32" customHeight="1" s="33">
      <c r="A382" s="7" t="inlineStr">
        <is>
          <t>TC-SBM-012</t>
        </is>
      </c>
      <c r="B382" s="7" t="inlineStr">
        <is>
          <t>L3</t>
        </is>
      </c>
      <c r="C382" s="8" t="inlineStr">
        <is>
          <t>Switch-to-Controller Link Isolation -- SPDM/IFCP Sessions Remain Local</t>
        </is>
      </c>
      <c r="D382" t="inlineStr">
        <is>
          <t>No</t>
        </is>
      </c>
      <c r="F382" s="18" t="inlineStr">
        <is>
          <t>NA</t>
        </is>
      </c>
      <c r="H382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82" s="21" t="inlineStr">
        <is>
          <t>Switch + compute SSH (est.)</t>
        </is>
      </c>
      <c r="J382" s="21" t="inlineStr">
        <is>
          <t>Switch + Compute</t>
        </is>
      </c>
      <c r="K382" s="21" t="inlineStr">
        <is>
          <t>BKC-26.12 plan</t>
        </is>
      </c>
      <c r="L382" t="inlineStr">
        <is>
          <t>Disruptive (est.)</t>
        </is>
      </c>
    </row>
    <row r="383" ht="32" customHeight="1" s="33">
      <c r="A383" s="7" t="inlineStr">
        <is>
          <t>TC-SBM-015</t>
        </is>
      </c>
      <c r="B383" s="7" t="inlineStr">
        <is>
          <t>L3</t>
        </is>
      </c>
      <c r="C383" s="8" t="inlineStr">
        <is>
          <t>vPod Compute Add/Remove -- Untouched Computes' CP Sessions Stay Stable</t>
        </is>
      </c>
      <c r="D383" t="inlineStr">
        <is>
          <t>No</t>
        </is>
      </c>
      <c r="F383" s="18" t="inlineStr">
        <is>
          <t>NA</t>
        </is>
      </c>
      <c r="H383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83" s="21" t="inlineStr">
        <is>
          <t>Switch + compute SSH (est.)</t>
        </is>
      </c>
      <c r="J383" s="21" t="inlineStr">
        <is>
          <t>Switch + Compute</t>
        </is>
      </c>
      <c r="K383" s="21" t="inlineStr">
        <is>
          <t>BKC-26.12 plan</t>
        </is>
      </c>
      <c r="L383" t="inlineStr">
        <is>
          <t>Disruptive (est.)</t>
        </is>
      </c>
    </row>
    <row r="384" ht="32" customHeight="1" s="33">
      <c r="A384" s="7" t="inlineStr">
        <is>
          <t>TC-SBM-017</t>
        </is>
      </c>
      <c r="B384" s="7" t="inlineStr">
        <is>
          <t>L3</t>
        </is>
      </c>
      <c r="C384" s="8" t="inlineStr">
        <is>
          <t>VLAN/FDB Churn Does Not Disrupt IFCP Control-Plane Sessions</t>
        </is>
      </c>
      <c r="D384" t="inlineStr">
        <is>
          <t>No</t>
        </is>
      </c>
      <c r="F384" s="18" t="inlineStr">
        <is>
          <t>NA</t>
        </is>
      </c>
      <c r="H384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84" s="21" t="inlineStr">
        <is>
          <t>Switch + compute SSH (est.)</t>
        </is>
      </c>
      <c r="J384" s="21" t="inlineStr">
        <is>
          <t>Switch + Compute</t>
        </is>
      </c>
      <c r="K384" s="21" t="inlineStr">
        <is>
          <t>BKC-26.12 plan</t>
        </is>
      </c>
      <c r="L384" t="inlineStr">
        <is>
          <t>Disruptive (est.)</t>
        </is>
      </c>
    </row>
    <row r="385" ht="32" customHeight="1" s="33">
      <c r="A385" s="7" t="inlineStr">
        <is>
          <t>TC-SBM-019</t>
        </is>
      </c>
      <c r="B385" s="7" t="inlineStr">
        <is>
          <t>L3</t>
        </is>
      </c>
      <c r="C385" s="8" t="inlineStr">
        <is>
          <t>Sb-node-agent Reconciliation of Config/Link Delta After Restart</t>
        </is>
      </c>
      <c r="D385" t="inlineStr">
        <is>
          <t>No</t>
        </is>
      </c>
      <c r="F385" s="18" t="inlineStr">
        <is>
          <t>NA</t>
        </is>
      </c>
      <c r="H385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85" s="21" t="inlineStr">
        <is>
          <t>Switch + compute SSH (est.)</t>
        </is>
      </c>
      <c r="J385" s="21" t="inlineStr">
        <is>
          <t>Switch + Compute</t>
        </is>
      </c>
      <c r="K385" s="21" t="inlineStr">
        <is>
          <t>BKC-26.12 plan</t>
        </is>
      </c>
      <c r="L385" t="inlineStr">
        <is>
          <t>Disruptive (est.)</t>
        </is>
      </c>
    </row>
    <row r="386" hidden="1" ht="32" customHeight="1" s="33">
      <c r="A386" s="7" t="inlineStr">
        <is>
          <t>TC-SBM-023</t>
        </is>
      </c>
      <c r="B386" s="7" t="inlineStr">
        <is>
          <t>L3</t>
        </is>
      </c>
      <c r="C386" s="8" t="inlineStr">
        <is>
          <t>Switch Port MTU Lowered Below Negotiated IFCP MTU</t>
        </is>
      </c>
      <c r="D386" t="inlineStr">
        <is>
          <t>Yes</t>
        </is>
      </c>
      <c r="I386" s="21" t="inlineStr">
        <is>
          <t>AFM API + switch + compute SSH</t>
        </is>
      </c>
      <c r="J386" s="21" t="inlineStr">
        <is>
          <t>Switch + Compute</t>
        </is>
      </c>
      <c r="K386" s="21" t="inlineStr">
        <is>
          <t>BKC-26.12 plan</t>
        </is>
      </c>
      <c r="L386" t="inlineStr">
        <is>
          <t>Disruptive</t>
        </is>
      </c>
    </row>
    <row r="387" hidden="1" ht="32" customHeight="1" s="33">
      <c r="A387" s="7" t="inlineStr">
        <is>
          <t>TC-SBM-030</t>
        </is>
      </c>
      <c r="B387" s="7" t="inlineStr">
        <is>
          <t>L3</t>
        </is>
      </c>
      <c r="C387" s="8" t="inlineStr">
        <is>
          <t>No Stale Events Reference a Switch After Removal</t>
        </is>
      </c>
      <c r="D387" t="inlineStr">
        <is>
          <t>Yes</t>
        </is>
      </c>
      <c r="I387" s="21" t="inlineStr">
        <is>
          <t>AFM API + switch SSH</t>
        </is>
      </c>
      <c r="J387" s="21" t="inlineStr">
        <is>
          <t>Switch + Compute</t>
        </is>
      </c>
      <c r="K387" s="21" t="inlineStr">
        <is>
          <t>BKC-26.12 plan</t>
        </is>
      </c>
      <c r="L387" t="inlineStr">
        <is>
          <t>Disruptive</t>
        </is>
      </c>
    </row>
    <row r="388" hidden="1" ht="32" customHeight="1" s="33">
      <c r="A388" s="7" t="inlineStr">
        <is>
          <t>TC-SBM-038</t>
        </is>
      </c>
      <c r="B388" s="7" t="inlineStr">
        <is>
          <t>L3</t>
        </is>
      </c>
      <c r="C388" s="8" t="inlineStr">
        <is>
          <t>Compute Readmit With a GPU/Datapath Port Already Down</t>
        </is>
      </c>
      <c r="D388" t="inlineStr">
        <is>
          <t>Yes</t>
        </is>
      </c>
      <c r="I388" s="21" t="inlineStr">
        <is>
          <t>AFM API + switch SSH</t>
        </is>
      </c>
      <c r="J388" s="21" t="inlineStr">
        <is>
          <t>Switch + Compute</t>
        </is>
      </c>
      <c r="K388" s="21" t="inlineStr">
        <is>
          <t>BKC-26.12 plan</t>
        </is>
      </c>
      <c r="L388" t="inlineStr">
        <is>
          <t>Disruptive</t>
        </is>
      </c>
    </row>
    <row r="389" ht="32" customHeight="1" s="33">
      <c r="A389" s="7" t="inlineStr">
        <is>
          <t>TC-SBM-041</t>
        </is>
      </c>
      <c r="B389" s="7" t="inlineStr">
        <is>
          <t>L3</t>
        </is>
      </c>
      <c r="C389" s="8" t="inlineStr">
        <is>
          <t>Compute Readmit via afm-agent Restart Landing Admitted but With IFCP Sessions Down</t>
        </is>
      </c>
      <c r="D389" t="inlineStr">
        <is>
          <t>No</t>
        </is>
      </c>
      <c r="F389" s="18" t="inlineStr">
        <is>
          <t>NA</t>
        </is>
      </c>
      <c r="H389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89" s="21" t="inlineStr">
        <is>
          <t>Switch + compute SSH (est.)</t>
        </is>
      </c>
      <c r="J389" s="21" t="inlineStr">
        <is>
          <t>Switch + Compute</t>
        </is>
      </c>
      <c r="K389" s="21" t="inlineStr">
        <is>
          <t>BKC-26.12 plan</t>
        </is>
      </c>
      <c r="L389" t="inlineStr">
        <is>
          <t>Disruptive (est.)</t>
        </is>
      </c>
    </row>
    <row r="390" hidden="1" ht="32" customHeight="1" s="33">
      <c r="A390" s="7" t="inlineStr">
        <is>
          <t>TC-SBM-042</t>
        </is>
      </c>
      <c r="B390" s="7" t="inlineStr">
        <is>
          <t>L3</t>
        </is>
      </c>
      <c r="C390" s="8" t="inlineStr">
        <is>
          <t>Full Event Trail Across Compute Decommission, Delete, and Readmit</t>
        </is>
      </c>
      <c r="D390" t="inlineStr">
        <is>
          <t>Yes</t>
        </is>
      </c>
      <c r="I390" s="21" t="inlineStr">
        <is>
          <t>AFM API + switch SSH</t>
        </is>
      </c>
      <c r="J390" s="21" t="inlineStr">
        <is>
          <t>Switch + Compute</t>
        </is>
      </c>
      <c r="K390" s="21" t="inlineStr">
        <is>
          <t>BKC-26.12 plan</t>
        </is>
      </c>
      <c r="L390" t="inlineStr">
        <is>
          <t>Disruptive</t>
        </is>
      </c>
    </row>
    <row r="391" hidden="1" ht="32" customHeight="1" s="33">
      <c r="A391" s="7" t="inlineStr">
        <is>
          <t>TC-SBM-043</t>
        </is>
      </c>
      <c r="B391" s="7" t="inlineStr">
        <is>
          <t>L3</t>
        </is>
      </c>
      <c r="C391" s="8" t="inlineStr">
        <is>
          <t>Switch-Side GPU Ports Show Down (API) When Compute Is Deleted</t>
        </is>
      </c>
      <c r="D391" t="inlineStr">
        <is>
          <t>Yes</t>
        </is>
      </c>
      <c r="I391" s="21" t="inlineStr">
        <is>
          <t>AFM API + switch SSH</t>
        </is>
      </c>
      <c r="J391" s="21" t="inlineStr">
        <is>
          <t>Switch + Compute</t>
        </is>
      </c>
      <c r="K391" s="21" t="inlineStr">
        <is>
          <t>BKC-26.12 plan</t>
        </is>
      </c>
      <c r="L391" t="inlineStr">
        <is>
          <t>Disruptive</t>
        </is>
      </c>
    </row>
    <row r="392" hidden="1" ht="32" customHeight="1" s="33">
      <c r="A392" s="7" t="inlineStr">
        <is>
          <t>TC-SBM-045</t>
        </is>
      </c>
      <c r="B392" s="7" t="inlineStr">
        <is>
          <t>L3</t>
        </is>
      </c>
      <c r="C392" s="8" t="inlineStr">
        <is>
          <t>Delete the Switch Assigned as a New Compute's Node-Agent Host Mid-Admission</t>
        </is>
      </c>
      <c r="D392" t="inlineStr">
        <is>
          <t>Yes</t>
        </is>
      </c>
      <c r="I392" s="21" t="inlineStr">
        <is>
          <t>AFM API + switch SSH</t>
        </is>
      </c>
      <c r="J392" s="21" t="inlineStr">
        <is>
          <t>Switch + Compute</t>
        </is>
      </c>
      <c r="K392" s="21" t="inlineStr">
        <is>
          <t>BKC-26.12 plan</t>
        </is>
      </c>
      <c r="L392" t="inlineStr">
        <is>
          <t>Disruptive</t>
        </is>
      </c>
    </row>
    <row r="393" hidden="1" ht="32" customHeight="1" s="33">
      <c r="A393" s="7" t="inlineStr">
        <is>
          <t>TC-SBM-049</t>
        </is>
      </c>
      <c r="B393" s="7" t="inlineStr">
        <is>
          <t>L3</t>
        </is>
      </c>
      <c r="C393" s="8" t="inlineStr">
        <is>
          <t>Switches has to get admitted to afm, so computes can get admitted</t>
        </is>
      </c>
      <c r="D393" t="inlineStr">
        <is>
          <t>Yes</t>
        </is>
      </c>
      <c r="F393" t="inlineStr">
        <is>
          <t>PASS</t>
        </is>
      </c>
      <c r="G393" t="inlineStr">
        <is>
          <t>SONiC.202505I20260915070938_x100.15; afm-agent/controller 202505I20260915070938_x100.15</t>
        </is>
      </c>
      <c r="H393" s="21" t="inlineStr">
        <is>
          <t>[g02-g17 full rack, non-disruptive switch + AFM API, 14 Oct 2026] 1 item(s) passed (helios-tests fullrack-switch-nd-filtered, g02-g17-20261014-092828, g02-g17-20261014-170350, g02-g17-20261014-170910)</t>
        </is>
      </c>
      <c r="I393" s="21" t="inlineStr">
        <is>
          <t>AFM API</t>
        </is>
      </c>
      <c r="J393" s="21" t="inlineStr">
        <is>
          <t>Switch (AFM API)</t>
        </is>
      </c>
      <c r="K393" s="21" t="inlineStr">
        <is>
          <t>BKC-26.12 plan</t>
        </is>
      </c>
      <c r="L393" t="inlineStr">
        <is>
          <t>Non-disruptive</t>
        </is>
      </c>
    </row>
    <row r="394" hidden="1" ht="128" customHeight="1" s="33">
      <c r="A394" s="7" t="inlineStr">
        <is>
          <t>TC-SBM-050</t>
        </is>
      </c>
      <c r="B394" s="7" t="inlineStr">
        <is>
          <t>L3</t>
        </is>
      </c>
      <c r="C394" s="8" t="inlineStr">
        <is>
          <t>Sideband agent come up on the switch along with node agent proxy</t>
        </is>
      </c>
      <c r="D394" t="inlineStr">
        <is>
          <t>Yes</t>
        </is>
      </c>
      <c r="F394" t="inlineStr">
        <is>
          <t>FAIL</t>
        </is>
      </c>
      <c r="G394" t="inlineStr">
        <is>
          <t>SONiC.202505I20260915070938_x100.15; afm-agent 202505I20260915070938_x100.15</t>
        </is>
      </c>
      <c r="H394" s="21" t="inlineStr">
        <is>
          <t>[analysis, 14 Oct 2026 ~17:25 UTC] 15 sb-node-agents for 18 slots: st1 6,7,15 | st2 10,11,14 | st3 0,5,17 | st4 2,8,9 | st5 3,12,13 | st6 none (afm-agent container up 41 h). Missing slots 1 and 4 = CT02/CT05 (down) and slot 16 = CT17 (up, no agent). st6 hosting no agent is likely the aftermath of its management-NIC outage (16:20-16:24 UTC): agents moved away and were not rebalanced back (see SBM-008/198). Slots 2 and 13, without an agent at ~16:30 (SEQ-005), have one again.
[g02-g17 full rack, sideband placement, 14 Oct 2026] 15 node agents for 18 slots (helios-tests g02-g17-20261014-102305)</t>
        </is>
      </c>
      <c r="I394" s="21" t="inlineStr">
        <is>
          <t>AFM API + switch SSH</t>
        </is>
      </c>
      <c r="J394" s="21" t="inlineStr">
        <is>
          <t>Switch + Compute</t>
        </is>
      </c>
      <c r="K394" s="21" t="inlineStr">
        <is>
          <t>BKC-26.12 plan</t>
        </is>
      </c>
      <c r="L394" t="inlineStr">
        <is>
          <t>Non-disruptive</t>
        </is>
      </c>
    </row>
    <row r="395" hidden="1" ht="32" customHeight="1" s="33">
      <c r="A395" s="7" t="inlineStr">
        <is>
          <t>TC-SBM-052</t>
        </is>
      </c>
      <c r="B395" s="7" t="inlineStr">
        <is>
          <t>L3</t>
        </is>
      </c>
      <c r="C395" s="8" t="inlineStr">
        <is>
          <t>All 72 GPUs form a total of 72 SPDM control sessions</t>
        </is>
      </c>
      <c r="D395" t="inlineStr">
        <is>
          <t>No</t>
        </is>
      </c>
      <c r="F395" t="inlineStr">
        <is>
          <t>NA</t>
        </is>
      </c>
      <c r="H395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95" s="21" t="inlineStr">
        <is>
          <t>Switch + compute SSH (est.)</t>
        </is>
      </c>
      <c r="J395" s="21" t="inlineStr">
        <is>
          <t>Switch + Compute</t>
        </is>
      </c>
      <c r="K395" s="21" t="inlineStr">
        <is>
          <t>BKC-26.12 plan</t>
        </is>
      </c>
      <c r="L395" t="inlineStr">
        <is>
          <t>Non-disruptive (est.)</t>
        </is>
      </c>
    </row>
    <row r="396" hidden="1" ht="32" customHeight="1" s="33">
      <c r="A396" s="7" t="inlineStr">
        <is>
          <t>TC-SBM-053</t>
        </is>
      </c>
      <c r="B396" s="7" t="inlineStr">
        <is>
          <t>L3</t>
        </is>
      </c>
      <c r="C396" s="8" t="inlineStr">
        <is>
          <t>Every switch has 12 control sessions terminated on it</t>
        </is>
      </c>
      <c r="D396" t="inlineStr">
        <is>
          <t>Yes</t>
        </is>
      </c>
      <c r="H396" t="inlineStr">
        <is>
          <t>[Automated, 19 Oct 2026] tests/afm/test_afm_observability.py (read-only; passes on the fake racks, not yet run on a rack)
Earlier: 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96" s="21" t="inlineStr">
        <is>
          <t>Switch + compute SSH (est.)</t>
        </is>
      </c>
      <c r="J396" s="21" t="inlineStr">
        <is>
          <t>Switch + Compute</t>
        </is>
      </c>
      <c r="K396" s="21" t="inlineStr">
        <is>
          <t>BKC-26.12 plan</t>
        </is>
      </c>
      <c r="L396" t="inlineStr">
        <is>
          <t>Non-disruptive (est.)</t>
        </is>
      </c>
    </row>
    <row r="397" hidden="1" ht="32" customHeight="1" s="33">
      <c r="A397" s="7" t="inlineStr">
        <is>
          <t>TC-SBM-056</t>
        </is>
      </c>
      <c r="B397" s="7" t="inlineStr">
        <is>
          <t>L3</t>
        </is>
      </c>
      <c r="C397" s="8" t="inlineStr">
        <is>
          <t>The first discovered link is used to establish the session</t>
        </is>
      </c>
      <c r="D397" t="inlineStr">
        <is>
          <t>No</t>
        </is>
      </c>
      <c r="F397" t="inlineStr">
        <is>
          <t>NA</t>
        </is>
      </c>
      <c r="H397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97" s="21" t="inlineStr">
        <is>
          <t>Switch + compute SSH (est.)</t>
        </is>
      </c>
      <c r="J397" s="21" t="inlineStr">
        <is>
          <t>Switch + Compute</t>
        </is>
      </c>
      <c r="K397" s="21" t="inlineStr">
        <is>
          <t>BKC-26.12 plan</t>
        </is>
      </c>
      <c r="L397" t="inlineStr">
        <is>
          <t>Non-disruptive (est.)</t>
        </is>
      </c>
    </row>
    <row r="398" hidden="1" ht="32" customHeight="1" s="33">
      <c r="A398" s="7" t="inlineStr">
        <is>
          <t>TC-SBM-059</t>
        </is>
      </c>
      <c r="B398" s="7" t="inlineStr">
        <is>
          <t>L3</t>
        </is>
      </c>
      <c r="C398" s="8" t="inlineStr">
        <is>
          <t>All GPUs of one compute node must form session with one node agent</t>
        </is>
      </c>
      <c r="D398" t="inlineStr">
        <is>
          <t>Yes</t>
        </is>
      </c>
      <c r="H398" t="inlineStr">
        <is>
          <t>[Automated, 19 Oct 2026] tests/afm/test_afm_observability.py (read-only; passes on the fake racks, not yet run on a rack)
Earlier: 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398" s="21" t="inlineStr">
        <is>
          <t>Switch + compute SSH (est.)</t>
        </is>
      </c>
      <c r="J398" s="21" t="inlineStr">
        <is>
          <t>Switch + Compute</t>
        </is>
      </c>
      <c r="K398" s="21" t="inlineStr">
        <is>
          <t>BKC-26.12 plan</t>
        </is>
      </c>
      <c r="L398" t="inlineStr">
        <is>
          <t>Non-disruptive (est.)</t>
        </is>
      </c>
    </row>
    <row r="399" hidden="1" ht="32" customHeight="1" s="33">
      <c r="A399" s="7" t="inlineStr">
        <is>
          <t>TC-SBM-062</t>
        </is>
      </c>
      <c r="B399" s="7" t="inlineStr">
        <is>
          <t>L3</t>
        </is>
      </c>
      <c r="C399" s="8" t="inlineStr">
        <is>
          <t>Link Level Control Messages is bidirectional</t>
        </is>
      </c>
      <c r="D399" t="inlineStr">
        <is>
          <t>Yes</t>
        </is>
      </c>
      <c r="F399" t="inlineStr">
        <is>
          <t>FAIL</t>
        </is>
      </c>
      <c r="G399" t="inlineStr">
        <is>
          <t>SONiC.202505I20260915070938_x100.15; afm-agent/controller 202505I20260915070938_x100.15; ROCm 10.2.0a20260922</t>
        </is>
      </c>
      <c r="H399" t="inlineStr">
        <is>
          <t>[g02-g17 full rack, non-disruptive compute / switch+compute, 14 Oct 2026 19:34-19:47 UTC, helios-tests g02-g17-20261014-194703 (jump host)] FAIL: CT06 0002:01:00.1 (acc 21) port 12 link-level control not bidirectional (peer not enabled); CT02 (10.255.4.48), CT05 (10.255.4.51) and CT17 (10.255.4.63) unreachable (no SSH).</t>
        </is>
      </c>
      <c r="I399" s="21" t="inlineStr">
        <is>
          <t>Switch + compute SSH</t>
        </is>
      </c>
      <c r="J399" s="21" t="inlineStr">
        <is>
          <t>Switch + Compute</t>
        </is>
      </c>
      <c r="K399" s="21" t="inlineStr">
        <is>
          <t>BKC-26.12 plan</t>
        </is>
      </c>
      <c r="L399" t="inlineStr">
        <is>
          <t>Non-disruptive</t>
        </is>
      </c>
    </row>
    <row r="400" hidden="1" ht="32" customHeight="1" s="33">
      <c r="A400" s="7" t="inlineStr">
        <is>
          <t>TC-SBM-063</t>
        </is>
      </c>
      <c r="B400" s="7" t="inlineStr">
        <is>
          <t>L3</t>
        </is>
      </c>
      <c r="C400" s="8" t="inlineStr">
        <is>
          <t>The ethernet frame format of IFCP packet</t>
        </is>
      </c>
      <c r="D400" t="inlineStr">
        <is>
          <t>No</t>
        </is>
      </c>
      <c r="F400" t="inlineStr">
        <is>
          <t>NA</t>
        </is>
      </c>
      <c r="H400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00" s="21" t="inlineStr">
        <is>
          <t>Switch + compute SSH (est.)</t>
        </is>
      </c>
      <c r="J400" s="21" t="inlineStr">
        <is>
          <t>Switch + Compute</t>
        </is>
      </c>
      <c r="K400" s="21" t="inlineStr">
        <is>
          <t>BKC-26.12 plan</t>
        </is>
      </c>
      <c r="L400" t="inlineStr">
        <is>
          <t>Non-disruptive (est.)</t>
        </is>
      </c>
    </row>
    <row r="401" hidden="1" ht="32" customHeight="1" s="33">
      <c r="A401" s="7" t="inlineStr">
        <is>
          <t>TC-SBM-065</t>
        </is>
      </c>
      <c r="B401" s="7" t="inlineStr">
        <is>
          <t>L3</t>
        </is>
      </c>
      <c r="C401" s="8" t="inlineStr">
        <is>
          <t>The IFCP outer header flag for the packet type is valid</t>
        </is>
      </c>
      <c r="D401" t="inlineStr">
        <is>
          <t>No</t>
        </is>
      </c>
      <c r="F401" t="inlineStr">
        <is>
          <t>NA</t>
        </is>
      </c>
      <c r="H401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01" s="21" t="inlineStr">
        <is>
          <t>Switch + compute SSH (est.)</t>
        </is>
      </c>
      <c r="J401" s="21" t="inlineStr">
        <is>
          <t>Switch + Compute</t>
        </is>
      </c>
      <c r="K401" s="21" t="inlineStr">
        <is>
          <t>BKC-26.12 plan</t>
        </is>
      </c>
      <c r="L401" t="inlineStr">
        <is>
          <t>Non-disruptive (est.)</t>
        </is>
      </c>
    </row>
    <row r="402" hidden="1" ht="32" customHeight="1" s="33">
      <c r="A402" s="7" t="inlineStr">
        <is>
          <t>TC-SBM-066</t>
        </is>
      </c>
      <c r="B402" s="7" t="inlineStr">
        <is>
          <t>L3</t>
        </is>
      </c>
      <c r="C402" s="8" t="inlineStr">
        <is>
          <t>The reserved flags are not used in IFP outer header</t>
        </is>
      </c>
      <c r="D402" t="inlineStr">
        <is>
          <t>No</t>
        </is>
      </c>
      <c r="F402" t="inlineStr">
        <is>
          <t>NA</t>
        </is>
      </c>
      <c r="H402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02" s="21" t="inlineStr">
        <is>
          <t>Switch + compute SSH (est.)</t>
        </is>
      </c>
      <c r="J402" s="21" t="inlineStr">
        <is>
          <t>Switch + Compute</t>
        </is>
      </c>
      <c r="K402" s="21" t="inlineStr">
        <is>
          <t>BKC-26.12 plan</t>
        </is>
      </c>
      <c r="L402" t="inlineStr">
        <is>
          <t>Non-disruptive (est.)</t>
        </is>
      </c>
    </row>
    <row r="403" hidden="1" ht="32" customHeight="1" s="33">
      <c r="A403" s="7" t="inlineStr">
        <is>
          <t>TC-SBM-067</t>
        </is>
      </c>
      <c r="B403" s="7" t="inlineStr">
        <is>
          <t>L3</t>
        </is>
      </c>
      <c r="C403" s="8" t="inlineStr">
        <is>
          <t>IFCP packets must have the highest priority set in the (PCP) header</t>
        </is>
      </c>
      <c r="D403" t="inlineStr">
        <is>
          <t>No</t>
        </is>
      </c>
      <c r="F403" t="inlineStr">
        <is>
          <t>NA</t>
        </is>
      </c>
      <c r="H403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03" s="21" t="inlineStr">
        <is>
          <t>Switch + compute SSH (est.)</t>
        </is>
      </c>
      <c r="J403" s="21" t="inlineStr">
        <is>
          <t>Switch + Compute</t>
        </is>
      </c>
      <c r="K403" s="21" t="inlineStr">
        <is>
          <t>BKC-26.12 plan</t>
        </is>
      </c>
      <c r="L403" t="inlineStr">
        <is>
          <t>Non-disruptive (est.)</t>
        </is>
      </c>
    </row>
    <row r="404" hidden="1" ht="32" customHeight="1" s="33">
      <c r="A404" s="7" t="inlineStr">
        <is>
          <t>TC-SBM-071</t>
        </is>
      </c>
      <c r="B404" s="7" t="inlineStr">
        <is>
          <t>L3</t>
        </is>
      </c>
      <c r="C404" s="8" t="inlineStr">
        <is>
          <t>The discovery message has number of capabilities and capability type-length-value set</t>
        </is>
      </c>
      <c r="D404" t="inlineStr">
        <is>
          <t>No</t>
        </is>
      </c>
      <c r="F404" t="inlineStr">
        <is>
          <t>NA</t>
        </is>
      </c>
      <c r="H404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04" s="21" t="inlineStr">
        <is>
          <t>Switch + compute SSH (est.)</t>
        </is>
      </c>
      <c r="J404" s="21" t="inlineStr">
        <is>
          <t>Switch + Compute</t>
        </is>
      </c>
      <c r="K404" s="21" t="inlineStr">
        <is>
          <t>BKC-26.12 plan</t>
        </is>
      </c>
      <c r="L404" t="inlineStr">
        <is>
          <t>Non-disruptive (est.)</t>
        </is>
      </c>
    </row>
    <row r="405" hidden="1" ht="32" customHeight="1" s="33">
      <c r="A405" s="7" t="inlineStr">
        <is>
          <t>TC-SBM-075</t>
        </is>
      </c>
      <c r="B405" s="7" t="inlineStr">
        <is>
          <t>L3</t>
        </is>
      </c>
      <c r="C405" s="8" t="inlineStr">
        <is>
          <t>When the link discovery handshake is completed, discover packets must be used for keepalive</t>
        </is>
      </c>
      <c r="D405" t="inlineStr">
        <is>
          <t>No</t>
        </is>
      </c>
      <c r="F405" t="inlineStr">
        <is>
          <t>NA</t>
        </is>
      </c>
      <c r="H405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05" s="21" t="inlineStr">
        <is>
          <t>Switch + compute SSH (est.)</t>
        </is>
      </c>
      <c r="J405" s="21" t="inlineStr">
        <is>
          <t>Switch + Compute</t>
        </is>
      </c>
      <c r="K405" s="21" t="inlineStr">
        <is>
          <t>BKC-26.12 plan</t>
        </is>
      </c>
      <c r="L405" t="inlineStr">
        <is>
          <t>Non-disruptive (est.)</t>
        </is>
      </c>
    </row>
    <row r="406" hidden="1" ht="32" customHeight="1" s="33">
      <c r="A406" s="7" t="inlineStr">
        <is>
          <t>TC-SBM-080</t>
        </is>
      </c>
      <c r="B406" s="7" t="inlineStr">
        <is>
          <t>L3</t>
        </is>
      </c>
      <c r="C406" s="8" t="inlineStr">
        <is>
          <t>The sequence number is retained when the session fails over to a new switch</t>
        </is>
      </c>
      <c r="D406" t="inlineStr">
        <is>
          <t>No</t>
        </is>
      </c>
      <c r="F406" t="inlineStr">
        <is>
          <t>NA</t>
        </is>
      </c>
      <c r="H406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406" s="21" t="inlineStr">
        <is>
          <t>Switch + compute SSH (est.)</t>
        </is>
      </c>
      <c r="J406" s="21" t="inlineStr">
        <is>
          <t>Switch + Compute</t>
        </is>
      </c>
      <c r="K406" s="21" t="inlineStr">
        <is>
          <t>BKC-26.12 plan</t>
        </is>
      </c>
      <c r="L406" t="inlineStr">
        <is>
          <t>Non-disruptive (est.)</t>
        </is>
      </c>
    </row>
    <row r="407" hidden="1" ht="32" customHeight="1" s="33">
      <c r="A407" s="7" t="inlineStr">
        <is>
          <t>TC-SBM-081</t>
        </is>
      </c>
      <c r="B407" s="7" t="inlineStr">
        <is>
          <t>L3</t>
        </is>
      </c>
      <c r="C407" s="8" t="inlineStr">
        <is>
          <t>The encryption bit is set when the message is encrypted by SPDM</t>
        </is>
      </c>
      <c r="D407" t="inlineStr">
        <is>
          <t>No</t>
        </is>
      </c>
      <c r="F407" t="inlineStr">
        <is>
          <t>NA</t>
        </is>
      </c>
      <c r="H407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07" s="21" t="inlineStr">
        <is>
          <t>Switch + compute SSH (est.)</t>
        </is>
      </c>
      <c r="J407" s="21" t="inlineStr">
        <is>
          <t>Switch + Compute</t>
        </is>
      </c>
      <c r="K407" s="21" t="inlineStr">
        <is>
          <t>BKC-26.12 plan</t>
        </is>
      </c>
      <c r="L407" t="inlineStr">
        <is>
          <t>Non-disruptive (est.)</t>
        </is>
      </c>
    </row>
    <row r="408" hidden="1" ht="32" customHeight="1" s="33">
      <c r="A408" s="7" t="inlineStr">
        <is>
          <t>TC-SBM-083</t>
        </is>
      </c>
      <c r="B408" s="7" t="inlineStr">
        <is>
          <t>L3</t>
        </is>
      </c>
      <c r="C408" s="8" t="inlineStr">
        <is>
          <t>The capabilities request and response packet format</t>
        </is>
      </c>
      <c r="D408" t="inlineStr">
        <is>
          <t>No</t>
        </is>
      </c>
      <c r="F408" t="inlineStr">
        <is>
          <t>NA</t>
        </is>
      </c>
      <c r="H408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08" s="21" t="inlineStr">
        <is>
          <t>Switch + compute SSH (est.)</t>
        </is>
      </c>
      <c r="J408" s="21" t="inlineStr">
        <is>
          <t>Switch + Compute</t>
        </is>
      </c>
      <c r="K408" s="21" t="inlineStr">
        <is>
          <t>BKC-26.12 plan</t>
        </is>
      </c>
      <c r="L408" t="inlineStr">
        <is>
          <t>Non-disruptive (est.)</t>
        </is>
      </c>
    </row>
    <row r="409" hidden="1" ht="32" customHeight="1" s="33">
      <c r="A409" s="7" t="inlineStr">
        <is>
          <t>TC-SBM-085</t>
        </is>
      </c>
      <c r="B409" s="7" t="inlineStr">
        <is>
          <t>L3</t>
        </is>
      </c>
      <c r="C409" s="8" t="inlineStr">
        <is>
          <t>The major version must match, must minor version can vary</t>
        </is>
      </c>
      <c r="D409" t="inlineStr">
        <is>
          <t>No</t>
        </is>
      </c>
      <c r="F409" t="inlineStr">
        <is>
          <t>NA</t>
        </is>
      </c>
      <c r="H409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09" s="21" t="inlineStr">
        <is>
          <t>Switch + compute SSH (est.)</t>
        </is>
      </c>
      <c r="J409" s="21" t="inlineStr">
        <is>
          <t>Switch + Compute</t>
        </is>
      </c>
      <c r="K409" s="21" t="inlineStr">
        <is>
          <t>BKC-26.12 plan</t>
        </is>
      </c>
      <c r="L409" t="inlineStr">
        <is>
          <t>Non-disruptive (est.)</t>
        </is>
      </c>
    </row>
    <row r="410" ht="32" customHeight="1" s="33">
      <c r="A410" s="7" t="inlineStr">
        <is>
          <t>TC-SBM-086</t>
        </is>
      </c>
      <c r="B410" s="7" t="inlineStr">
        <is>
          <t>L3</t>
        </is>
      </c>
      <c r="C410" s="8" t="inlineStr">
        <is>
          <t>Manipulate packet to mismatch the minor version</t>
        </is>
      </c>
      <c r="D410" t="inlineStr">
        <is>
          <t>No</t>
        </is>
      </c>
      <c r="F410" s="18" t="inlineStr">
        <is>
          <t>NA</t>
        </is>
      </c>
      <c r="H410" t="inlineStr">
        <is>
          <t>[Not automated, 15 Oct 2026] Reason: IFCP packets cannot be captured or dropped on purpose. Needed (from AMD / lab): How to produce a minor-version mismatch (TC-CTRL-011, SBM-086): a test build or a packet-rewrite filter. (details: docs/amd-inputs.html in helios-tests)</t>
        </is>
      </c>
      <c r="I410" s="21" t="inlineStr">
        <is>
          <t>Switch + compute SSH (est.)</t>
        </is>
      </c>
      <c r="J410" s="21" t="inlineStr">
        <is>
          <t>Switch + Compute</t>
        </is>
      </c>
      <c r="K410" s="21" t="inlineStr">
        <is>
          <t>BKC-26.12 plan</t>
        </is>
      </c>
      <c r="L410" t="inlineStr">
        <is>
          <t>Disruptive (est.)</t>
        </is>
      </c>
    </row>
    <row r="411" ht="32" customHeight="1" s="33">
      <c r="A411" s="7" t="inlineStr">
        <is>
          <t>TC-SBM-087</t>
        </is>
      </c>
      <c r="B411" s="7" t="inlineStr">
        <is>
          <t>L3</t>
        </is>
      </c>
      <c r="C411" s="8" t="inlineStr">
        <is>
          <t>Encryption can be enabled/disabled by a global knob</t>
        </is>
      </c>
      <c r="D411" t="inlineStr">
        <is>
          <t>No</t>
        </is>
      </c>
      <c r="F411" s="18" t="inlineStr">
        <is>
          <t>NA</t>
        </is>
      </c>
      <c r="H411" t="inlineStr">
        <is>
          <t>[Not automated, 15 Oct 2026] Reason: the plan gives no procedure or pass criteria. Needed (from AMD / lab): SBM-087: where the global encryption knob lives. (details: docs/amd-inputs.html in helios-tests)</t>
        </is>
      </c>
      <c r="I411" s="21" t="inlineStr">
        <is>
          <t>Switch + compute SSH (est.)</t>
        </is>
      </c>
      <c r="J411" s="21" t="inlineStr">
        <is>
          <t>Switch + Compute</t>
        </is>
      </c>
      <c r="K411" s="21" t="inlineStr">
        <is>
          <t>BKC-26.12 plan</t>
        </is>
      </c>
      <c r="L411" t="inlineStr">
        <is>
          <t>Disruptive (est.)</t>
        </is>
      </c>
    </row>
    <row r="412" hidden="1" ht="32" customHeight="1" s="33">
      <c r="A412" s="7" t="inlineStr">
        <is>
          <t>TC-SBM-088</t>
        </is>
      </c>
      <c r="B412" s="7" t="inlineStr">
        <is>
          <t>L3</t>
        </is>
      </c>
      <c r="C412" s="8" t="inlineStr">
        <is>
          <t>GPU uses same link to send control packet from which it got the control message</t>
        </is>
      </c>
      <c r="D412" t="inlineStr">
        <is>
          <t>No</t>
        </is>
      </c>
      <c r="F412" t="inlineStr">
        <is>
          <t>NA</t>
        </is>
      </c>
      <c r="H412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412" s="21" t="inlineStr">
        <is>
          <t>Switch + compute SSH (est.)</t>
        </is>
      </c>
      <c r="J412" s="21" t="inlineStr">
        <is>
          <t>Switch + Compute</t>
        </is>
      </c>
      <c r="K412" s="21" t="inlineStr">
        <is>
          <t>BKC-26.12 plan</t>
        </is>
      </c>
      <c r="L412" t="inlineStr">
        <is>
          <t>Non-disruptive (est.)</t>
        </is>
      </c>
    </row>
    <row r="413" hidden="1" ht="32" customHeight="1" s="33">
      <c r="A413" s="7" t="inlineStr">
        <is>
          <t>TC-SBM-091</t>
        </is>
      </c>
      <c r="B413" s="7" t="inlineStr">
        <is>
          <t>L3</t>
        </is>
      </c>
      <c r="C413" s="8" t="inlineStr">
        <is>
          <t>Format of packet datagram unit with multiple events</t>
        </is>
      </c>
      <c r="D413" t="inlineStr">
        <is>
          <t>No</t>
        </is>
      </c>
      <c r="F413" t="inlineStr">
        <is>
          <t>NA</t>
        </is>
      </c>
      <c r="H413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13" s="21" t="inlineStr">
        <is>
          <t>Switch + compute SSH (est.)</t>
        </is>
      </c>
      <c r="J413" s="21" t="inlineStr">
        <is>
          <t>Switch + Compute</t>
        </is>
      </c>
      <c r="K413" s="21" t="inlineStr">
        <is>
          <t>BKC-26.12 plan</t>
        </is>
      </c>
      <c r="L413" t="inlineStr">
        <is>
          <t>Non-disruptive (est.)</t>
        </is>
      </c>
    </row>
    <row r="414" hidden="1" ht="32" customHeight="1" s="33">
      <c r="A414" s="7" t="inlineStr">
        <is>
          <t>TC-SBM-093</t>
        </is>
      </c>
      <c r="B414" s="7" t="inlineStr">
        <is>
          <t>L3</t>
        </is>
      </c>
      <c r="C414" s="8" t="inlineStr">
        <is>
          <t>Event packets can use a different link than the control session link</t>
        </is>
      </c>
      <c r="D414" t="inlineStr">
        <is>
          <t>No</t>
        </is>
      </c>
      <c r="F414" t="inlineStr">
        <is>
          <t>NA</t>
        </is>
      </c>
      <c r="H414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414" s="21" t="inlineStr">
        <is>
          <t>Switch + compute SSH (est.)</t>
        </is>
      </c>
      <c r="J414" s="21" t="inlineStr">
        <is>
          <t>Switch + Compute</t>
        </is>
      </c>
      <c r="K414" s="21" t="inlineStr">
        <is>
          <t>BKC-26.12 plan</t>
        </is>
      </c>
      <c r="L414" t="inlineStr">
        <is>
          <t>Non-disruptive (est.)</t>
        </is>
      </c>
    </row>
    <row r="415" hidden="1" ht="32" customHeight="1" s="33">
      <c r="A415" s="7" t="inlineStr">
        <is>
          <t>TC-SBM-097</t>
        </is>
      </c>
      <c r="B415" s="7" t="inlineStr">
        <is>
          <t>L3</t>
        </is>
      </c>
      <c r="C415" s="8" t="inlineStr">
        <is>
          <t>Bring down the non-sideband link b/w switch and GPU</t>
        </is>
      </c>
      <c r="D415" t="inlineStr">
        <is>
          <t>Yes</t>
        </is>
      </c>
      <c r="I415" s="21" t="inlineStr">
        <is>
          <t>AFM API + switch + compute SSH</t>
        </is>
      </c>
      <c r="J415" s="21" t="inlineStr">
        <is>
          <t>Switch + Compute</t>
        </is>
      </c>
      <c r="K415" s="21" t="inlineStr">
        <is>
          <t>BKC-26.12 plan</t>
        </is>
      </c>
      <c r="L415" t="inlineStr">
        <is>
          <t>Disruptive</t>
        </is>
      </c>
    </row>
    <row r="416" hidden="1" ht="32" customHeight="1" s="33">
      <c r="A416" s="7" t="inlineStr">
        <is>
          <t>TC-SBM-099</t>
        </is>
      </c>
      <c r="B416" s="7" t="inlineStr">
        <is>
          <t>L3</t>
        </is>
      </c>
      <c r="C416" s="8" t="inlineStr">
        <is>
          <t>[Link] Control-path flap (node agent &lt;-&gt; AFM controller, controller on the same or another switch) - the path recovers</t>
        </is>
      </c>
      <c r="D416" t="inlineStr">
        <is>
          <t>Yes</t>
        </is>
      </c>
      <c r="I416" s="21" t="inlineStr">
        <is>
          <t>AFM API + switch SSH</t>
        </is>
      </c>
      <c r="J416" s="21" t="inlineStr">
        <is>
          <t>Switch + Compute</t>
        </is>
      </c>
      <c r="K416" s="21" t="inlineStr">
        <is>
          <t>BKC-26.12 plan</t>
        </is>
      </c>
      <c r="L416" t="inlineStr">
        <is>
          <t>Disruptive</t>
        </is>
      </c>
    </row>
    <row r="417" hidden="1" ht="32" customHeight="1" s="33">
      <c r="A417" s="7" t="inlineStr">
        <is>
          <t>TC-SBM-111</t>
        </is>
      </c>
      <c r="B417" s="7" t="inlineStr">
        <is>
          <t>L3</t>
        </is>
      </c>
      <c r="C417" s="8" t="inlineStr">
        <is>
          <t>Bring down CP switch while vPOD CRUD is going on</t>
        </is>
      </c>
      <c r="D417" t="inlineStr">
        <is>
          <t>Yes</t>
        </is>
      </c>
      <c r="I417" s="21" t="inlineStr">
        <is>
          <t>AFM API + switch SSH</t>
        </is>
      </c>
      <c r="J417" s="21" t="inlineStr">
        <is>
          <t>Switch + Compute</t>
        </is>
      </c>
      <c r="K417" s="21" t="inlineStr">
        <is>
          <t>BKC-26.12 plan</t>
        </is>
      </c>
      <c r="L417" t="inlineStr">
        <is>
          <t>Disruptive</t>
        </is>
      </c>
    </row>
    <row r="418" ht="32" customHeight="1" s="33">
      <c r="A418" s="7" t="inlineStr">
        <is>
          <t>TC-SBM-113</t>
        </is>
      </c>
      <c r="B418" s="7" t="inlineStr">
        <is>
          <t>L3</t>
        </is>
      </c>
      <c r="C418" s="8" t="inlineStr">
        <is>
          <t>CP vs DP priority (can CP messages be starved)</t>
        </is>
      </c>
      <c r="D418" t="inlineStr">
        <is>
          <t>No</t>
        </is>
      </c>
      <c r="F418" s="18" t="inlineStr">
        <is>
          <t>NA</t>
        </is>
      </c>
      <c r="H418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18" s="21" t="inlineStr">
        <is>
          <t>Switch + compute SSH (est.)</t>
        </is>
      </c>
      <c r="J418" s="21" t="inlineStr">
        <is>
          <t>Switch + Compute</t>
        </is>
      </c>
      <c r="K418" s="21" t="inlineStr">
        <is>
          <t>BKC-26.12 plan</t>
        </is>
      </c>
      <c r="L418" t="inlineStr">
        <is>
          <t>Disruptive (est.)</t>
        </is>
      </c>
    </row>
    <row r="419" hidden="1" ht="32" customHeight="1" s="33">
      <c r="A419" s="7" t="inlineStr">
        <is>
          <t>TC-SBM-114</t>
        </is>
      </c>
      <c r="B419" s="7" t="inlineStr">
        <is>
          <t>L3</t>
        </is>
      </c>
      <c r="C419" s="8" t="inlineStr">
        <is>
          <t>Creation of vlan and forwarding table does not affect cp traffic</t>
        </is>
      </c>
      <c r="D419" t="inlineStr">
        <is>
          <t>Yes</t>
        </is>
      </c>
      <c r="I419" s="21" t="inlineStr">
        <is>
          <t>AFM API + switch SSH</t>
        </is>
      </c>
      <c r="J419" s="21" t="inlineStr">
        <is>
          <t>Switch + Compute</t>
        </is>
      </c>
      <c r="K419" s="21" t="inlineStr">
        <is>
          <t>BKC-26.12 plan</t>
        </is>
      </c>
      <c r="L419" t="inlineStr">
        <is>
          <t>Disruptive</t>
        </is>
      </c>
    </row>
    <row r="420" ht="32" customHeight="1" s="33">
      <c r="A420" s="7" t="inlineStr">
        <is>
          <t>TC-SBM-117</t>
        </is>
      </c>
      <c r="B420" s="7" t="inlineStr">
        <is>
          <t>L3</t>
        </is>
      </c>
      <c r="C420" s="8" t="inlineStr">
        <is>
          <t>Starve all links with data path traffic, and ensure CP is intact or failovers to standby</t>
        </is>
      </c>
      <c r="D420" t="inlineStr">
        <is>
          <t>No</t>
        </is>
      </c>
      <c r="F420" s="18" t="inlineStr">
        <is>
          <t>NA</t>
        </is>
      </c>
      <c r="H420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20" s="21" t="inlineStr">
        <is>
          <t>Switch + compute SSH (est.)</t>
        </is>
      </c>
      <c r="J420" s="21" t="inlineStr">
        <is>
          <t>Switch + Compute</t>
        </is>
      </c>
      <c r="K420" s="21" t="inlineStr">
        <is>
          <t>BKC-26.12 plan</t>
        </is>
      </c>
      <c r="L420" t="inlineStr">
        <is>
          <t>Disruptive (est.)</t>
        </is>
      </c>
    </row>
    <row r="421" hidden="1" ht="32" customHeight="1" s="33">
      <c r="A421" s="7" t="inlineStr">
        <is>
          <t>TC-SBM-127</t>
        </is>
      </c>
      <c r="B421" s="7" t="inlineStr">
        <is>
          <t>L3</t>
        </is>
      </c>
      <c r="C421" s="8" t="inlineStr">
        <is>
          <t>Active standby switch election</t>
        </is>
      </c>
      <c r="D421" t="inlineStr">
        <is>
          <t>No</t>
        </is>
      </c>
      <c r="F421" t="inlineStr">
        <is>
          <t>NA</t>
        </is>
      </c>
      <c r="H421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421" s="21" t="inlineStr">
        <is>
          <t>Switch + compute SSH (est.)</t>
        </is>
      </c>
      <c r="J421" s="21" t="inlineStr">
        <is>
          <t>Switch + Compute</t>
        </is>
      </c>
      <c r="K421" s="21" t="inlineStr">
        <is>
          <t>BKC-26.12 plan</t>
        </is>
      </c>
      <c r="L421" t="inlineStr">
        <is>
          <t>Non-disruptive (est.)</t>
        </is>
      </c>
    </row>
    <row r="422" ht="32" customHeight="1" s="33">
      <c r="A422" s="7" t="inlineStr">
        <is>
          <t>TC-SBM-130</t>
        </is>
      </c>
      <c r="B422" s="7" t="inlineStr">
        <is>
          <t>L3</t>
        </is>
      </c>
      <c r="C422" s="8" t="inlineStr">
        <is>
          <t>Bring down the AISC over which the SPDM session is established</t>
        </is>
      </c>
      <c r="D422" t="inlineStr">
        <is>
          <t>No</t>
        </is>
      </c>
      <c r="F422" s="18" t="inlineStr">
        <is>
          <t>NA</t>
        </is>
      </c>
      <c r="H422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422" s="21" t="inlineStr">
        <is>
          <t>Switch + compute SSH (est.)</t>
        </is>
      </c>
      <c r="J422" s="21" t="inlineStr">
        <is>
          <t>Switch + Compute</t>
        </is>
      </c>
      <c r="K422" s="21" t="inlineStr">
        <is>
          <t>BKC-26.12 plan</t>
        </is>
      </c>
      <c r="L422" t="inlineStr">
        <is>
          <t>Disruptive (est.)</t>
        </is>
      </c>
    </row>
    <row r="423" hidden="1" ht="144" customHeight="1" s="33">
      <c r="A423" s="7" t="inlineStr">
        <is>
          <t>TC-SBM-135</t>
        </is>
      </c>
      <c r="B423" s="7" t="inlineStr">
        <is>
          <t>L3</t>
        </is>
      </c>
      <c r="C423" s="8" t="inlineStr">
        <is>
          <t>Sideband Manager should distribute the agents among the 6 available switches</t>
        </is>
      </c>
      <c r="D423" t="inlineStr">
        <is>
          <t>Yes</t>
        </is>
      </c>
      <c r="F423" t="inlineStr">
        <is>
          <t>PARTIAL</t>
        </is>
      </c>
      <c r="G423" t="inlineStr">
        <is>
          <t>SONiC.202505I20260915070938_x100.15; afm-agent/controller 202505I20260915070938_x100.15; ROCm 10.2.0a20260922</t>
        </is>
      </c>
      <c r="H423" s="21" t="inlineStr">
        <is>
          <t>[g02-g17 full rack, rack health check: ran 2026-10-16 05:26 UTC (run g02-g17-20261016-053848), health result g02-g17-20261016-135436-merged] PARTIAL: fails only because CT05 (10.255.4.51) is unreachable - the health check groups it under the root cause "ct05 unreachable"; passed on every reachable node.
Earlier: [analysis, 14 Oct 2026 ~17:25 UTC] 15 sb-node-agents for 18 slots: st1 6,7,15 | st2 10,11,14 | st3 0,5,17 | st4 2,8,9 | st5 3,12,13 | st6 none (afm-agent container up 41 h). Missing slots 1 and 4 = CT02/CT05 (down) and slot 16 = CT17 (up, no agent). st6 hosting no agent is likely the aftermath of its management-NIC outage (16:20-16:24 UTC): agents moved away and were not rebalanced back (see SBM-008/198). Slots 2 and 13, without an agent at ~16:30 (SEQ-005), have one again.
[g02-g17 full rack, sideband placement, 14 Oct 2026] slots without exactly one agent: {}; switches hosting no node agent: ['st6']; node agents not balanced (slack 1): {'st1': 3, 'st2': 3, 'st3': 3, 'st4': 3, 'st5': 3} (helios-tests g02-g17-20261014-102305)</t>
        </is>
      </c>
      <c r="I423" s="21" t="inlineStr">
        <is>
          <t>AFM API + switch SSH</t>
        </is>
      </c>
      <c r="J423" s="21" t="inlineStr">
        <is>
          <t>Switch + Compute</t>
        </is>
      </c>
      <c r="K423" s="21" t="inlineStr">
        <is>
          <t>BKC-26.12 plan</t>
        </is>
      </c>
      <c r="L423" t="inlineStr">
        <is>
          <t>Non-disruptive</t>
        </is>
      </c>
      <c r="M423" t="inlineStr">
        <is>
          <t>Blocker</t>
        </is>
      </c>
    </row>
    <row r="424" hidden="1" ht="144" customHeight="1" s="33">
      <c r="A424" s="7" t="inlineStr">
        <is>
          <t>TC-SBM-136</t>
        </is>
      </c>
      <c r="B424" s="7" t="inlineStr">
        <is>
          <t>L3</t>
        </is>
      </c>
      <c r="C424" s="8" t="inlineStr">
        <is>
          <t>Node agent are distributed among all switches</t>
        </is>
      </c>
      <c r="D424" t="inlineStr">
        <is>
          <t>Yes</t>
        </is>
      </c>
      <c r="F424" t="inlineStr">
        <is>
          <t>PARTIAL</t>
        </is>
      </c>
      <c r="G424" t="inlineStr">
        <is>
          <t>SONiC.202505I20260915070938_x100.15; afm-agent/controller 202505I20260915070938_x100.15; ROCm 10.2.0a20260922</t>
        </is>
      </c>
      <c r="H424" s="21" t="inlineStr">
        <is>
          <t>[g02-g17 full rack, rack health check: ran 2026-10-16 05:26 UTC (run g02-g17-20261016-053848), health result g02-g17-20261016-135436-merged] PARTIAL: fails only because CT05 (10.255.4.51) is unreachable - the health check groups it under the root cause "ct05 unreachable"; passed on every reachable node.
Earlier: [analysis, 14 Oct 2026 ~17:25 UTC] 15 sb-node-agents for 18 slots: st1 6,7,15 | st2 10,11,14 | st3 0,5,17 | st4 2,8,9 | st5 3,12,13 | st6 none (afm-agent container up 41 h). Missing slots 1 and 4 = CT02/CT05 (down) and slot 16 = CT17 (up, no agent). st6 hosting no agent is likely the aftermath of its management-NIC outage (16:20-16:24 UTC): agents moved away and were not rebalanced back (see SBM-008/198). Slots 2 and 13, without an agent at ~16:30 (SEQ-005), have one again.
[g02-g17 full rack, sideband placement, 14 Oct 2026] slots without exactly one agent: {}; switches hosting no node agent: ['st6']; node agents not balanced (slack 1): {'st1': 3, 'st2': 3, 'st3': 3, 'st4': 3, 'st5': 3} (helios-tests g02-g17-20261014-102305)</t>
        </is>
      </c>
      <c r="I424" s="21" t="inlineStr">
        <is>
          <t>AFM API + switch SSH</t>
        </is>
      </c>
      <c r="J424" s="21" t="inlineStr">
        <is>
          <t>Switch + Compute</t>
        </is>
      </c>
      <c r="K424" s="21" t="inlineStr">
        <is>
          <t>BKC-26.12 plan</t>
        </is>
      </c>
      <c r="L424" t="inlineStr">
        <is>
          <t>Non-disruptive</t>
        </is>
      </c>
      <c r="M424" t="inlineStr">
        <is>
          <t>Blocker</t>
        </is>
      </c>
    </row>
    <row r="425" hidden="1" ht="32" customHeight="1" s="33">
      <c r="A425" s="7" t="inlineStr">
        <is>
          <t>TC-SBM-137</t>
        </is>
      </c>
      <c r="B425" s="7" t="inlineStr">
        <is>
          <t>L3</t>
        </is>
      </c>
      <c r="C425" s="8" t="inlineStr">
        <is>
          <t>On switch failure, Sideband manager must redistribute the node agents from the failed switch</t>
        </is>
      </c>
      <c r="D425" t="inlineStr">
        <is>
          <t>Yes</t>
        </is>
      </c>
      <c r="I425" s="21" t="inlineStr">
        <is>
          <t>AFM API + switch SSH</t>
        </is>
      </c>
      <c r="J425" s="21" t="inlineStr">
        <is>
          <t>Switch + Compute</t>
        </is>
      </c>
      <c r="K425" s="21" t="inlineStr">
        <is>
          <t>BKC-26.12 plan</t>
        </is>
      </c>
      <c r="L425" t="inlineStr">
        <is>
          <t>Disruptive</t>
        </is>
      </c>
    </row>
    <row r="426" hidden="1" ht="32" customHeight="1" s="33">
      <c r="A426" s="7" t="inlineStr">
        <is>
          <t>TC-SBM-138</t>
        </is>
      </c>
      <c r="B426" s="7" t="inlineStr">
        <is>
          <t>L3</t>
        </is>
      </c>
      <c r="C426" s="8" t="inlineStr">
        <is>
          <t>Switch agent thread comes up first in the agent container</t>
        </is>
      </c>
      <c r="D426" t="inlineStr">
        <is>
          <t>Yes</t>
        </is>
      </c>
      <c r="H426" t="inlineStr">
        <is>
          <t>[Automated, 19 Oct 2026] tests/afm/test_afm_observability.py (read-only; passes on the fake racks, not yet run on a rack)
Earlier: 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426" s="21" t="inlineStr">
        <is>
          <t>Switch + compute SSH (est.)</t>
        </is>
      </c>
      <c r="J426" s="21" t="inlineStr">
        <is>
          <t>Switch + Compute</t>
        </is>
      </c>
      <c r="K426" s="21" t="inlineStr">
        <is>
          <t>BKC-26.12 plan</t>
        </is>
      </c>
      <c r="L426" t="inlineStr">
        <is>
          <t>Non-disruptive (est.)</t>
        </is>
      </c>
    </row>
    <row r="427" hidden="1" ht="32" customHeight="1" s="33">
      <c r="A427" s="7" t="inlineStr">
        <is>
          <t>TC-SBM-139</t>
        </is>
      </c>
      <c r="B427" s="7" t="inlineStr">
        <is>
          <t>L3</t>
        </is>
      </c>
      <c r="C427" s="8" t="inlineStr">
        <is>
          <t>Three node agent threads are started by the node manager</t>
        </is>
      </c>
      <c r="D427" t="inlineStr">
        <is>
          <t>Yes</t>
        </is>
      </c>
      <c r="H427" t="inlineStr">
        <is>
          <t>[Automated, 19 Oct 2026] tests/afm/test_afm_observability.py (read-only; passes on the fake racks, not yet run on a rack)
Earlier: 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427" s="21" t="inlineStr">
        <is>
          <t>Switch + compute SSH (est.)</t>
        </is>
      </c>
      <c r="J427" s="21" t="inlineStr">
        <is>
          <t>Switch + Compute</t>
        </is>
      </c>
      <c r="K427" s="21" t="inlineStr">
        <is>
          <t>BKC-26.12 plan</t>
        </is>
      </c>
      <c r="L427" t="inlineStr">
        <is>
          <t>Non-disruptive (est.)</t>
        </is>
      </c>
    </row>
    <row r="428" hidden="1" ht="32" customHeight="1" s="33">
      <c r="A428" s="7" t="inlineStr">
        <is>
          <t>TC-SBM-147</t>
        </is>
      </c>
      <c r="B428" s="7" t="inlineStr">
        <is>
          <t>L3</t>
        </is>
      </c>
      <c r="C428" s="8" t="inlineStr">
        <is>
          <t>Discovery flow initiated and responded</t>
        </is>
      </c>
      <c r="D428" t="inlineStr">
        <is>
          <t>No</t>
        </is>
      </c>
      <c r="F428" t="inlineStr">
        <is>
          <t>NA</t>
        </is>
      </c>
      <c r="H428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428" s="21" t="inlineStr">
        <is>
          <t>Switch + compute SSH (est.)</t>
        </is>
      </c>
      <c r="J428" s="21" t="inlineStr">
        <is>
          <t>Switch + Compute</t>
        </is>
      </c>
      <c r="K428" s="21" t="inlineStr">
        <is>
          <t>BKC-26.12 plan</t>
        </is>
      </c>
      <c r="L428" t="inlineStr">
        <is>
          <t>Non-disruptive (est.)</t>
        </is>
      </c>
    </row>
    <row r="429" hidden="1" ht="32" customHeight="1" s="33">
      <c r="A429" s="7" t="inlineStr">
        <is>
          <t>TC-SBM-149</t>
        </is>
      </c>
      <c r="B429" s="7" t="inlineStr">
        <is>
          <t>L3</t>
        </is>
      </c>
      <c r="C429" s="8" t="inlineStr">
        <is>
          <t>GPU mapping creation in Sideband Agent</t>
        </is>
      </c>
      <c r="D429" t="inlineStr">
        <is>
          <t>No</t>
        </is>
      </c>
      <c r="F429" t="inlineStr">
        <is>
          <t>NA</t>
        </is>
      </c>
      <c r="H429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429" s="21" t="inlineStr">
        <is>
          <t>Switch + compute SSH (est.)</t>
        </is>
      </c>
      <c r="J429" s="21" t="inlineStr">
        <is>
          <t>Switch + Compute</t>
        </is>
      </c>
      <c r="K429" s="21" t="inlineStr">
        <is>
          <t>BKC-26.12 plan</t>
        </is>
      </c>
      <c r="L429" t="inlineStr">
        <is>
          <t>Non-disruptive (est.)</t>
        </is>
      </c>
    </row>
    <row r="430" hidden="1" ht="32" customHeight="1" s="33">
      <c r="A430" s="7" t="inlineStr">
        <is>
          <t>TC-SBM-152</t>
        </is>
      </c>
      <c r="B430" s="7" t="inlineStr">
        <is>
          <t>L3</t>
        </is>
      </c>
      <c r="C430" s="8" t="inlineStr">
        <is>
          <t>Node Agent triggers control channel setup via Switch IFCP</t>
        </is>
      </c>
      <c r="D430" t="inlineStr">
        <is>
          <t>No</t>
        </is>
      </c>
      <c r="F430" t="inlineStr">
        <is>
          <t>NA</t>
        </is>
      </c>
      <c r="H430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430" s="21" t="inlineStr">
        <is>
          <t>Switch + compute SSH (est.)</t>
        </is>
      </c>
      <c r="J430" s="21" t="inlineStr">
        <is>
          <t>Switch + Compute</t>
        </is>
      </c>
      <c r="K430" s="21" t="inlineStr">
        <is>
          <t>BKC-26.12 plan</t>
        </is>
      </c>
      <c r="L430" t="inlineStr">
        <is>
          <t>Non-disruptive (est.)</t>
        </is>
      </c>
    </row>
    <row r="431" hidden="1" ht="32" customHeight="1" s="33">
      <c r="A431" s="7" t="inlineStr">
        <is>
          <t>TC-SBM-155</t>
        </is>
      </c>
      <c r="B431" s="7" t="inlineStr">
        <is>
          <t>L3</t>
        </is>
      </c>
      <c r="C431" s="8" t="inlineStr">
        <is>
          <t>Compatibility set from Switch IFCP lib</t>
        </is>
      </c>
      <c r="D431" t="inlineStr">
        <is>
          <t>No</t>
        </is>
      </c>
      <c r="F431" t="inlineStr">
        <is>
          <t>NA</t>
        </is>
      </c>
      <c r="H431" t="inlineStr">
        <is>
          <t>[Not automated, 15 Oct 2026] Reason: no API / command shows the sideband control sessions. Needed (from AMD / lab): A command or API that lists every control session per GPU: GPU / accelerator id, terminating switch and ASIC, SelectedLink, standby links, control port, state, SPDM encryption on/off, IFCP version, sequence number. The per-switch view of the same sessions (for the per-switch count and load-balance cases). How to tell which of a GPU's links is currently ... (details: docs/amd-inputs.html in helios-tests)</t>
        </is>
      </c>
      <c r="I431" s="21" t="inlineStr">
        <is>
          <t>Switch + compute SSH (est.)</t>
        </is>
      </c>
      <c r="J431" s="21" t="inlineStr">
        <is>
          <t>Switch + Compute</t>
        </is>
      </c>
      <c r="K431" s="21" t="inlineStr">
        <is>
          <t>BKC-26.12 plan</t>
        </is>
      </c>
      <c r="L431" t="inlineStr">
        <is>
          <t>Non-disruptive (est.)</t>
        </is>
      </c>
    </row>
    <row r="432" hidden="1" ht="32" customHeight="1" s="33">
      <c r="A432" s="7" t="inlineStr">
        <is>
          <t>TC-SBM-157</t>
        </is>
      </c>
      <c r="B432" s="7" t="inlineStr">
        <is>
          <t>L3</t>
        </is>
      </c>
      <c r="C432" s="8" t="inlineStr">
        <is>
          <t>Node Manager sends operational API requests</t>
        </is>
      </c>
      <c r="D432" t="inlineStr">
        <is>
          <t>No</t>
        </is>
      </c>
      <c r="F432" t="inlineStr">
        <is>
          <t>NA</t>
        </is>
      </c>
      <c r="H432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432" s="21" t="inlineStr">
        <is>
          <t>Switch + compute SSH (est.)</t>
        </is>
      </c>
      <c r="J432" s="21" t="inlineStr">
        <is>
          <t>Switch + Compute</t>
        </is>
      </c>
      <c r="K432" s="21" t="inlineStr">
        <is>
          <t>BKC-26.12 plan</t>
        </is>
      </c>
      <c r="L432" t="inlineStr">
        <is>
          <t>Non-disruptive (est.)</t>
        </is>
      </c>
    </row>
    <row r="433" ht="32" customHeight="1" s="33">
      <c r="A433" s="7" t="inlineStr">
        <is>
          <t>TC-SBM-164</t>
        </is>
      </c>
      <c r="B433" s="7" t="inlineStr">
        <is>
          <t>L3</t>
        </is>
      </c>
      <c r="C433" s="8" t="inlineStr">
        <is>
          <t>Drop ACK packets and verify retransmit</t>
        </is>
      </c>
      <c r="D433" t="inlineStr">
        <is>
          <t>No</t>
        </is>
      </c>
      <c r="F433" s="18" t="inlineStr">
        <is>
          <t>NA</t>
        </is>
      </c>
      <c r="H433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33" s="21" t="inlineStr">
        <is>
          <t>Switch + compute SSH (est.)</t>
        </is>
      </c>
      <c r="J433" s="21" t="inlineStr">
        <is>
          <t>Switch + Compute</t>
        </is>
      </c>
      <c r="K433" s="21" t="inlineStr">
        <is>
          <t>BKC-26.12 plan</t>
        </is>
      </c>
      <c r="L433" t="inlineStr">
        <is>
          <t>Disruptive (est.)</t>
        </is>
      </c>
    </row>
    <row r="434" ht="32" customHeight="1" s="33">
      <c r="A434" s="7" t="inlineStr">
        <is>
          <t>TC-SBM-172</t>
        </is>
      </c>
      <c r="B434" s="7" t="inlineStr">
        <is>
          <t>L3</t>
        </is>
      </c>
      <c r="C434" s="8" t="inlineStr">
        <is>
          <t>IFCP sequence -&gt; Inject failure in every message path</t>
        </is>
      </c>
      <c r="D434" t="inlineStr">
        <is>
          <t>No</t>
        </is>
      </c>
      <c r="F434" s="18" t="inlineStr">
        <is>
          <t>NA</t>
        </is>
      </c>
      <c r="H434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34" s="21" t="inlineStr">
        <is>
          <t>Switch + compute SSH (est.)</t>
        </is>
      </c>
      <c r="J434" s="21" t="inlineStr">
        <is>
          <t>Switch + Compute</t>
        </is>
      </c>
      <c r="K434" s="21" t="inlineStr">
        <is>
          <t>BKC-26.12 plan</t>
        </is>
      </c>
      <c r="L434" t="inlineStr">
        <is>
          <t>Disruptive (est.)</t>
        </is>
      </c>
    </row>
    <row r="435" hidden="1" ht="32" customHeight="1" s="33">
      <c r="A435" s="7" t="inlineStr">
        <is>
          <t>TC-SBM-173</t>
        </is>
      </c>
      <c r="B435" s="7" t="inlineStr">
        <is>
          <t>L3</t>
        </is>
      </c>
      <c r="C435" s="8" t="inlineStr">
        <is>
          <t>Events and control packet loss and retransmits</t>
        </is>
      </c>
      <c r="D435" t="inlineStr">
        <is>
          <t>No</t>
        </is>
      </c>
      <c r="F435" t="inlineStr">
        <is>
          <t>NA</t>
        </is>
      </c>
      <c r="H435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35" s="21" t="inlineStr">
        <is>
          <t>Switch + compute SSH (est.)</t>
        </is>
      </c>
      <c r="J435" s="21" t="inlineStr">
        <is>
          <t>Switch + Compute</t>
        </is>
      </c>
      <c r="K435" s="21" t="inlineStr">
        <is>
          <t>BKC-26.12 plan</t>
        </is>
      </c>
      <c r="L435" t="inlineStr">
        <is>
          <t>Non-disruptive (est.)</t>
        </is>
      </c>
    </row>
    <row r="436" ht="32" customHeight="1" s="33">
      <c r="A436" s="7" t="inlineStr">
        <is>
          <t>TC-SBM-174</t>
        </is>
      </c>
      <c r="B436" s="7" t="inlineStr">
        <is>
          <t>L3</t>
        </is>
      </c>
      <c r="C436" s="8" t="inlineStr">
        <is>
          <t>Other control packets Rx starving IFCP (LLDP etc)</t>
        </is>
      </c>
      <c r="D436" t="inlineStr">
        <is>
          <t>No</t>
        </is>
      </c>
      <c r="F436" s="18" t="inlineStr">
        <is>
          <t>NA</t>
        </is>
      </c>
      <c r="H436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36" s="21" t="inlineStr">
        <is>
          <t>Switch + compute SSH (est.)</t>
        </is>
      </c>
      <c r="J436" s="21" t="inlineStr">
        <is>
          <t>Switch + Compute</t>
        </is>
      </c>
      <c r="K436" s="21" t="inlineStr">
        <is>
          <t>BKC-26.12 plan</t>
        </is>
      </c>
      <c r="L436" t="inlineStr">
        <is>
          <t>Disruptive (est.)</t>
        </is>
      </c>
    </row>
    <row r="437" hidden="1" ht="32" customHeight="1" s="33">
      <c r="A437" s="7" t="inlineStr">
        <is>
          <t>TC-SBM-175</t>
        </is>
      </c>
      <c r="B437" s="7" t="inlineStr">
        <is>
          <t>L3</t>
        </is>
      </c>
      <c r="C437" s="8" t="inlineStr">
        <is>
          <t>Merics, events, other IFCP priorities marking</t>
        </is>
      </c>
      <c r="D437" t="inlineStr">
        <is>
          <t>No</t>
        </is>
      </c>
      <c r="F437" t="inlineStr">
        <is>
          <t>NA</t>
        </is>
      </c>
      <c r="H437" t="inlineStr">
        <is>
          <t>[Not automated, 15 Oct 2026] Reason: IFCP packets cannot be captured or dropped on purpose. Needed (from AMD / lab): The supported capture point for IFCP frames on the switch (netdev and namespace) and on the compute tray, with the ethertype or filter to use. The OVS / tc filter scripts used for TC-009…015 and TC-040…043, or the exact filter definitions. The IFCP frame and header specification (outer header flags, reserved bits, PCP, capability TLVs, datagram format) ... (details: docs/amd-inputs.html in helios-tests)</t>
        </is>
      </c>
      <c r="I437" s="21" t="inlineStr">
        <is>
          <t>Switch + compute SSH (est.)</t>
        </is>
      </c>
      <c r="J437" s="21" t="inlineStr">
        <is>
          <t>Switch + Compute</t>
        </is>
      </c>
      <c r="K437" s="21" t="inlineStr">
        <is>
          <t>BKC-26.12 plan</t>
        </is>
      </c>
      <c r="L437" t="inlineStr">
        <is>
          <t>Non-disruptive (est.)</t>
        </is>
      </c>
    </row>
    <row r="438" hidden="1" ht="32" customHeight="1" s="33">
      <c r="A438" s="7" t="inlineStr">
        <is>
          <t>TC-SBM-178</t>
        </is>
      </c>
      <c r="B438" s="7" t="inlineStr">
        <is>
          <t>L3</t>
        </is>
      </c>
      <c r="C438" s="8" t="inlineStr">
        <is>
          <t>Admitted switch can be force decomissioned</t>
        </is>
      </c>
      <c r="D438" t="inlineStr">
        <is>
          <t>Yes</t>
        </is>
      </c>
      <c r="I438" s="21" t="inlineStr">
        <is>
          <t>AFM API + switch SSH</t>
        </is>
      </c>
      <c r="J438" s="21" t="inlineStr">
        <is>
          <t>Switch + Compute</t>
        </is>
      </c>
      <c r="K438" s="21" t="inlineStr">
        <is>
          <t>BKC-26.12 plan</t>
        </is>
      </c>
      <c r="L438" t="inlineStr">
        <is>
          <t>Disruptive</t>
        </is>
      </c>
    </row>
    <row r="439" hidden="1" ht="32" customHeight="1" s="33">
      <c r="A439" s="7" t="inlineStr">
        <is>
          <t>TC-SBM-198</t>
        </is>
      </c>
      <c r="B439" s="7" t="inlineStr">
        <is>
          <t>L3</t>
        </is>
      </c>
      <c r="C439" s="8" t="inlineStr">
        <is>
          <t>Once a switch is readded, load balancing has to be done</t>
        </is>
      </c>
      <c r="D439" t="inlineStr">
        <is>
          <t>Yes</t>
        </is>
      </c>
      <c r="I439" s="21" t="inlineStr">
        <is>
          <t>AFM API + switch SSH</t>
        </is>
      </c>
      <c r="J439" s="21" t="inlineStr">
        <is>
          <t>Switch + Compute</t>
        </is>
      </c>
      <c r="K439" s="21" t="inlineStr">
        <is>
          <t>BKC-26.12 plan</t>
        </is>
      </c>
      <c r="L439" t="inlineStr">
        <is>
          <t>Disruptive</t>
        </is>
      </c>
    </row>
    <row r="440" ht="32" customHeight="1" s="33">
      <c r="A440" s="7" t="inlineStr">
        <is>
          <t>TC-SBM-203</t>
        </is>
      </c>
      <c r="B440" s="7" t="inlineStr">
        <is>
          <t>L3</t>
        </is>
      </c>
      <c r="C440" s="8" t="inlineStr">
        <is>
          <t>Max switch delete possible for every rack</t>
        </is>
      </c>
      <c r="D440" t="inlineStr">
        <is>
          <t>No</t>
        </is>
      </c>
      <c r="F440" s="18" t="inlineStr">
        <is>
          <t>NA</t>
        </is>
      </c>
      <c r="H440" t="inlineStr">
        <is>
          <t>[Not automated, 15 Oct 2026] Reason: the plan gives no procedure or pass criteria. Needed (from AMD / lab): E2E-067 / E2E-083 / SBM-203: is deleting the physical pod, or the maximum number of switch deletes, something we may do on the shared full rack? (details: docs/amd-inputs.html in helios-tests)</t>
        </is>
      </c>
      <c r="I440" s="21" t="inlineStr">
        <is>
          <t>Switch + compute SSH (est.)</t>
        </is>
      </c>
      <c r="J440" s="21" t="inlineStr">
        <is>
          <t>Switch + Compute</t>
        </is>
      </c>
      <c r="K440" s="21" t="inlineStr">
        <is>
          <t>BKC-26.12 plan</t>
        </is>
      </c>
      <c r="L440" t="inlineStr">
        <is>
          <t>Disruptive (est.)</t>
        </is>
      </c>
    </row>
    <row r="441" hidden="1" ht="32" customHeight="1" s="33">
      <c r="A441" s="7" t="inlineStr">
        <is>
          <t>TC-SBM-207</t>
        </is>
      </c>
      <c r="B441" s="7" t="inlineStr">
        <is>
          <t>L3</t>
        </is>
      </c>
      <c r="C441" s="8" t="inlineStr">
        <is>
          <t>Control path must be terminated on compute decommission</t>
        </is>
      </c>
      <c r="D441" t="inlineStr">
        <is>
          <t>Yes</t>
        </is>
      </c>
      <c r="I441" s="21" t="inlineStr">
        <is>
          <t>AFM API + switch SSH</t>
        </is>
      </c>
      <c r="J441" s="21" t="inlineStr">
        <is>
          <t>Switch + Compute</t>
        </is>
      </c>
      <c r="K441" s="21" t="inlineStr">
        <is>
          <t>BKC-26.12 plan</t>
        </is>
      </c>
      <c r="L441" t="inlineStr">
        <is>
          <t>Disruptive</t>
        </is>
      </c>
    </row>
    <row r="442" ht="16" customHeight="1" s="33">
      <c r="A442" s="7" t="inlineStr">
        <is>
          <t>TC-STR-001</t>
        </is>
      </c>
      <c r="B442" s="7" t="inlineStr">
        <is>
          <t>L3</t>
        </is>
      </c>
      <c r="C442" s="8" t="inlineStr">
        <is>
          <t>Full rack parallel node admission — all 18 computes join simultaneously</t>
        </is>
      </c>
      <c r="D442" t="inlineStr">
        <is>
          <t>No</t>
        </is>
      </c>
      <c r="F442" s="18" t="inlineStr">
        <is>
          <t>NA</t>
        </is>
      </c>
      <c r="H442" t="inlineStr">
        <is>
          <t>[Not automated, 15 Oct 2026] Reason: the plan gives no procedure or pass criteria. Needed (from AMD / lab): STR-*: durations, scale targets and pass thresholds for the stress cases. (details: docs/amd-inputs.html in helios-tests)</t>
        </is>
      </c>
      <c r="I442" s="21" t="inlineStr">
        <is>
          <t>AFM API + switch SSH (full rack, long run)</t>
        </is>
      </c>
      <c r="J442" s="21" t="inlineStr">
        <is>
          <t>Switch</t>
        </is>
      </c>
      <c r="K442" s="21" t="inlineStr">
        <is>
          <t>BKC-26.12 plan</t>
        </is>
      </c>
      <c r="L442" t="inlineStr">
        <is>
          <t>Disruptive (est.)</t>
        </is>
      </c>
    </row>
    <row r="443" hidden="1" ht="16" customHeight="1" s="33">
      <c r="A443" s="7" t="inlineStr">
        <is>
          <t>TC-STR-003</t>
        </is>
      </c>
      <c r="B443" s="7" t="inlineStr">
        <is>
          <t>L3</t>
        </is>
      </c>
      <c r="C443" s="8" t="inlineStr">
        <is>
          <t>Node admission with partial GPU failures across multiple nodes</t>
        </is>
      </c>
      <c r="D443" t="inlineStr">
        <is>
          <t>No</t>
        </is>
      </c>
      <c r="F443" t="inlineStr">
        <is>
          <t>NA</t>
        </is>
      </c>
      <c r="H443" t="inlineStr">
        <is>
          <t>[Not automated, 15 Oct 2026] Reason: needs a GPU fault that cannot be injected. Needed (from AMD / lab): A supported way to inject each fault (debug knob, test build, sysfs override), and how to clear it afterwards. (details: docs/amd-inputs.html in helios-tests)</t>
        </is>
      </c>
      <c r="I443" s="21" t="inlineStr">
        <is>
          <t>AFM API + switch SSH (full rack, long run)</t>
        </is>
      </c>
      <c r="J443" s="21" t="inlineStr">
        <is>
          <t>Switch</t>
        </is>
      </c>
      <c r="K443" s="21" t="inlineStr">
        <is>
          <t>BKC-26.12 plan</t>
        </is>
      </c>
      <c r="L443" t="inlineStr">
        <is>
          <t>Non-disruptive (est.)</t>
        </is>
      </c>
    </row>
    <row r="444" ht="16" customHeight="1" s="33">
      <c r="A444" s="7" t="inlineStr">
        <is>
          <t>TC-STR-004</t>
        </is>
      </c>
      <c r="B444" s="7" t="inlineStr">
        <is>
          <t>L3</t>
        </is>
      </c>
      <c r="C444" s="8" t="inlineStr">
        <is>
          <t>All 6 switch trays admitted in parallel — port discovery completeness</t>
        </is>
      </c>
      <c r="D444" t="inlineStr">
        <is>
          <t>No</t>
        </is>
      </c>
      <c r="F444" s="18" t="inlineStr">
        <is>
          <t>NA</t>
        </is>
      </c>
      <c r="H444" t="inlineStr">
        <is>
          <t>[Not automated, 15 Oct 2026] Reason: the plan gives no procedure or pass criteria. Needed (from AMD / lab): STR-*: durations, scale targets and pass thresholds for the stress cases. (details: docs/amd-inputs.html in helios-tests)</t>
        </is>
      </c>
      <c r="I444" s="21" t="inlineStr">
        <is>
          <t>AFM API + switch SSH (full rack, long run)</t>
        </is>
      </c>
      <c r="J444" s="21" t="inlineStr">
        <is>
          <t>Switch</t>
        </is>
      </c>
      <c r="K444" s="21" t="inlineStr">
        <is>
          <t>BKC-26.12 plan</t>
        </is>
      </c>
      <c r="L444" t="inlineStr">
        <is>
          <t>Disruptive (est.)</t>
        </is>
      </c>
    </row>
    <row r="445" hidden="1" ht="32" customHeight="1" s="33">
      <c r="A445" s="7" t="inlineStr">
        <is>
          <t>TC-STR-005</t>
        </is>
      </c>
      <c r="B445" s="7" t="inlineStr">
        <is>
          <t>L3</t>
        </is>
      </c>
      <c r="C445" s="8" t="inlineStr">
        <is>
          <t>System vPOD end-to-end configuration time with 18 nodes / 72 GPUs</t>
        </is>
      </c>
      <c r="D445" t="inlineStr">
        <is>
          <t>Yes</t>
        </is>
      </c>
      <c r="F445" t="inlineStr">
        <is>
          <t>PARTIAL</t>
        </is>
      </c>
      <c r="G445" t="inlineStr">
        <is>
          <t>AFM 0.1.0-AICC-817</t>
        </is>
      </c>
      <c r="H44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45" s="21" t="inlineStr">
        <is>
          <t>AFM API (disruptive)</t>
        </is>
      </c>
      <c r="J445" s="21" t="inlineStr">
        <is>
          <t>Switch (AFM API)</t>
        </is>
      </c>
      <c r="K445" s="21" t="inlineStr">
        <is>
          <t>BKC-26.12 plan</t>
        </is>
      </c>
      <c r="L445" t="inlineStr">
        <is>
          <t>Disruptive</t>
        </is>
      </c>
    </row>
    <row r="446" ht="16" customHeight="1" s="33">
      <c r="A446" s="7" t="inlineStr">
        <is>
          <t>TC-STR-006</t>
        </is>
      </c>
      <c r="B446" s="7" t="inlineStr">
        <is>
          <t>L3</t>
        </is>
      </c>
      <c r="C446" s="8" t="inlineStr">
        <is>
          <t>Port drain lane mask update time at full rack scale</t>
        </is>
      </c>
      <c r="D446" t="inlineStr">
        <is>
          <t>No</t>
        </is>
      </c>
      <c r="F446" s="18" t="inlineStr">
        <is>
          <t>NA</t>
        </is>
      </c>
      <c r="H446" t="inlineStr">
        <is>
          <t>[Not automated, 15 Oct 2026] Reason: the plan gives no procedure or pass criteria. Needed (from AMD / lab): STR-*: durations, scale targets and pass thresholds for the stress cases. (details: docs/amd-inputs.html in helios-tests)</t>
        </is>
      </c>
      <c r="I446" s="21" t="inlineStr">
        <is>
          <t>AFM API + switch SSH (full rack, long run)</t>
        </is>
      </c>
      <c r="J446" s="21" t="inlineStr">
        <is>
          <t>Switch</t>
        </is>
      </c>
      <c r="K446" s="21" t="inlineStr">
        <is>
          <t>BKC-26.12 plan</t>
        </is>
      </c>
      <c r="L446" t="inlineStr">
        <is>
          <t>Disruptive (est.)</t>
        </is>
      </c>
    </row>
    <row r="447" hidden="1" ht="16" customHeight="1" s="33">
      <c r="A447" s="7" t="inlineStr">
        <is>
          <t>TC-STR-008</t>
        </is>
      </c>
      <c r="B447" s="7" t="inlineStr">
        <is>
          <t>L3</t>
        </is>
      </c>
      <c r="C447" s="8" t="inlineStr">
        <is>
          <t>Node join + node leave during vPOD reconfiguration</t>
        </is>
      </c>
      <c r="D447" t="inlineStr">
        <is>
          <t>No</t>
        </is>
      </c>
      <c r="F447" t="inlineStr">
        <is>
          <t>NA</t>
        </is>
      </c>
      <c r="H447" t="inlineStr">
        <is>
          <t>[Not automated, 15 Oct 2026] Reason: the plan gives no procedure or pass criteria. Needed (from AMD / lab): STR-*: durations, scale targets and pass thresholds for the stress cases. (details: docs/amd-inputs.html in helios-tests)</t>
        </is>
      </c>
      <c r="I447" s="21" t="inlineStr">
        <is>
          <t>AFM API + switch SSH (full rack, long run)</t>
        </is>
      </c>
      <c r="J447" s="21" t="inlineStr">
        <is>
          <t>Switch</t>
        </is>
      </c>
      <c r="K447" s="21" t="inlineStr">
        <is>
          <t>BKC-26.12 plan</t>
        </is>
      </c>
      <c r="L447" t="inlineStr">
        <is>
          <t>Non-disruptive (est.)</t>
        </is>
      </c>
    </row>
    <row r="448" ht="16" customHeight="1" s="33">
      <c r="A448" s="7" t="inlineStr">
        <is>
          <t>TC-STR-009</t>
        </is>
      </c>
      <c r="B448" s="7" t="inlineStr">
        <is>
          <t>L3</t>
        </is>
      </c>
      <c r="C448" s="8" t="inlineStr">
        <is>
          <t>Decommission all 18 nodes in parallel — controller survives</t>
        </is>
      </c>
      <c r="D448" t="inlineStr">
        <is>
          <t>No</t>
        </is>
      </c>
      <c r="F448" s="18" t="inlineStr">
        <is>
          <t>NA</t>
        </is>
      </c>
      <c r="H448" t="inlineStr">
        <is>
          <t>[Not automated, 15 Oct 2026] Reason: the plan gives no procedure or pass criteria. Needed (from AMD / lab): STR-*: durations, scale targets and pass thresholds for the stress cases. (details: docs/amd-inputs.html in helios-tests)</t>
        </is>
      </c>
      <c r="I448" s="21" t="inlineStr">
        <is>
          <t>AFM API + switch SSH (full rack, long run)</t>
        </is>
      </c>
      <c r="J448" s="21" t="inlineStr">
        <is>
          <t>Switch</t>
        </is>
      </c>
      <c r="K448" s="21" t="inlineStr">
        <is>
          <t>BKC-26.12 plan</t>
        </is>
      </c>
      <c r="L448" t="inlineStr">
        <is>
          <t>Disruptive (est.)</t>
        </is>
      </c>
    </row>
    <row r="449" hidden="1" ht="16" customHeight="1" s="33">
      <c r="A449" s="7" t="inlineStr">
        <is>
          <t>TC-STR-010</t>
        </is>
      </c>
      <c r="B449" s="7" t="inlineStr">
        <is>
          <t>L3</t>
        </is>
      </c>
      <c r="C449" s="8" t="inlineStr">
        <is>
          <t>Full rack controller restart — state recovery for 18 nodes + 6 switches</t>
        </is>
      </c>
      <c r="D449" t="inlineStr">
        <is>
          <t>Yes</t>
        </is>
      </c>
      <c r="F449" t="inlineStr">
        <is>
          <t>PARTIAL</t>
        </is>
      </c>
      <c r="G449" t="inlineStr">
        <is>
          <t>AFM 0.1.0-AICC-817</t>
        </is>
      </c>
      <c r="H449" s="21" t="inlineStr">
        <is>
          <t>[g02-g17 disruptive switch/AFM, 17-18 Oct 2026] passed without the quarantined node(s): ct05 (Down)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49" s="21" t="inlineStr">
        <is>
          <t>AFM API + switch SSH</t>
        </is>
      </c>
      <c r="J449" s="21" t="inlineStr">
        <is>
          <t>Switch</t>
        </is>
      </c>
      <c r="K449" s="21" t="inlineStr">
        <is>
          <t>BKC-26.12 plan</t>
        </is>
      </c>
      <c r="L449" t="inlineStr">
        <is>
          <t>Disruptive</t>
        </is>
      </c>
    </row>
    <row r="450" hidden="1" ht="32" customHeight="1" s="33">
      <c r="A450" s="7" t="inlineStr">
        <is>
          <t>TC-STR-011</t>
        </is>
      </c>
      <c r="B450" s="7" t="inlineStr">
        <is>
          <t>L3</t>
        </is>
      </c>
      <c r="C450" s="8" t="inlineStr">
        <is>
          <t>Etcd transaction limits — bulk vPOD ops with 18 nodes</t>
        </is>
      </c>
      <c r="D450" t="inlineStr">
        <is>
          <t>Yes</t>
        </is>
      </c>
      <c r="F450" t="inlineStr">
        <is>
          <t>PARTIAL</t>
        </is>
      </c>
      <c r="G450" t="inlineStr">
        <is>
          <t>AFM 0.1.0-AICC-817</t>
        </is>
      </c>
      <c r="H450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50" s="21" t="inlineStr">
        <is>
          <t>AFM API (disruptive)</t>
        </is>
      </c>
      <c r="J450" s="21" t="inlineStr">
        <is>
          <t>Switch (AFM API)</t>
        </is>
      </c>
      <c r="K450" s="21" t="inlineStr">
        <is>
          <t>BKC-26.12 plan</t>
        </is>
      </c>
      <c r="L450" t="inlineStr">
        <is>
          <t>Disruptive</t>
        </is>
      </c>
    </row>
    <row r="451" hidden="1" ht="16" customHeight="1" s="33">
      <c r="A451" s="7" t="inlineStr">
        <is>
          <t>TC-STR-012</t>
        </is>
      </c>
      <c r="B451" s="7" t="inlineStr">
        <is>
          <t>L3</t>
        </is>
      </c>
      <c r="C451" s="8" t="inlineStr">
        <is>
          <t>Toposervice responsiveness during concurrent topology changes</t>
        </is>
      </c>
      <c r="D451" t="inlineStr">
        <is>
          <t>No</t>
        </is>
      </c>
      <c r="F451" t="inlineStr">
        <is>
          <t>NA</t>
        </is>
      </c>
      <c r="H451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451" s="21" t="inlineStr">
        <is>
          <t>AFM API + switch SSH (full rack, long run)</t>
        </is>
      </c>
      <c r="J451" s="21" t="inlineStr">
        <is>
          <t>Switch</t>
        </is>
      </c>
      <c r="K451" s="21" t="inlineStr">
        <is>
          <t>BKC-26.12 plan</t>
        </is>
      </c>
      <c r="L451" t="inlineStr">
        <is>
          <t>Non-disruptive (est.)</t>
        </is>
      </c>
    </row>
    <row r="452" hidden="1" ht="16" customHeight="1" s="33">
      <c r="A452" s="7" t="inlineStr">
        <is>
          <t>TC-STR-013</t>
        </is>
      </c>
      <c r="B452" s="7" t="inlineStr">
        <is>
          <t>L3</t>
        </is>
      </c>
      <c r="C452" s="8" t="inlineStr">
        <is>
          <t>[Link] Link event storm - rapid port flaps on 6 computes at once; AFM stays consistent</t>
        </is>
      </c>
      <c r="D452" t="inlineStr">
        <is>
          <t>Yes</t>
        </is>
      </c>
      <c r="F452" t="inlineStr">
        <is>
          <t>PARTIAL</t>
        </is>
      </c>
      <c r="G452" t="inlineStr">
        <is>
          <t>AFM 0.1.0-AICC-817</t>
        </is>
      </c>
      <c r="H452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52" s="21" t="inlineStr">
        <is>
          <t>AFM API + switch SSH</t>
        </is>
      </c>
      <c r="J452" s="21" t="inlineStr">
        <is>
          <t>Switch</t>
        </is>
      </c>
      <c r="K452" s="21" t="inlineStr">
        <is>
          <t>BKC-26.12 plan</t>
        </is>
      </c>
      <c r="L452" t="inlineStr">
        <is>
          <t>Disruptive</t>
        </is>
      </c>
    </row>
    <row r="453" ht="16" customHeight="1" s="33">
      <c r="A453" s="7" t="inlineStr">
        <is>
          <t>TC-STR-014</t>
        </is>
      </c>
      <c r="B453" s="7" t="inlineStr">
        <is>
          <t>L3</t>
        </is>
      </c>
      <c r="C453" s="8" t="inlineStr">
        <is>
          <t>[Link] Link flap - only the data-fabric mask is reprogrammed, not the full configuration</t>
        </is>
      </c>
      <c r="D453" t="inlineStr">
        <is>
          <t>No</t>
        </is>
      </c>
      <c r="F453" s="18" t="inlineStr">
        <is>
          <t>NA</t>
        </is>
      </c>
      <c r="H453" t="inlineStr">
        <is>
          <t>[Not automated, 15 Oct 2026] Reason: the plan gives no procedure or pass criteria. Needed (from AMD / lab): STR-*: durations, scale targets and pass thresholds for the stress cases. (details: docs/amd-inputs.html in helios-tests)</t>
        </is>
      </c>
      <c r="I453" s="21" t="inlineStr">
        <is>
          <t>AFM API + switch SSH (full rack, long run)</t>
        </is>
      </c>
      <c r="J453" s="21" t="inlineStr">
        <is>
          <t>Switch</t>
        </is>
      </c>
      <c r="K453" s="21" t="inlineStr">
        <is>
          <t>BKC-26.12 plan</t>
        </is>
      </c>
      <c r="L453" t="inlineStr">
        <is>
          <t>Disruptive (est.)</t>
        </is>
      </c>
    </row>
    <row r="454" hidden="1" ht="16" customHeight="1" s="33">
      <c r="A454" s="7" t="inlineStr">
        <is>
          <t>TC-STR-015</t>
        </is>
      </c>
      <c r="B454" s="7" t="inlineStr">
        <is>
          <t>L3</t>
        </is>
      </c>
      <c r="C454" s="8" t="inlineStr">
        <is>
          <t>Controller log rotation under sustained full-rack activity (2 hours)</t>
        </is>
      </c>
      <c r="D454" t="inlineStr">
        <is>
          <t>Yes</t>
        </is>
      </c>
      <c r="H454" t="inlineStr">
        <is>
          <t>[Automated, 19 Oct 2026] tests/afm/test_afm_observability.py (read-only; passes on the fake racks, not yet run on a rack)
Earlier: [Not automated, 15 Oct 2026] Reason: the plan gives no procedure or pass criteria. Needed (from AMD / lab): STR-*: durations, scale targets and pass thresholds for the stress cases. (details: docs/amd-inputs.html in helios-tests)</t>
        </is>
      </c>
      <c r="I454" s="21" t="inlineStr">
        <is>
          <t>AFM API + switch SSH (full rack, long run)</t>
        </is>
      </c>
      <c r="J454" s="21" t="inlineStr">
        <is>
          <t>Switch</t>
        </is>
      </c>
      <c r="K454" s="21" t="inlineStr">
        <is>
          <t>BKC-26.12 plan</t>
        </is>
      </c>
      <c r="L454" t="inlineStr">
        <is>
          <t>Non-disruptive (est.)</t>
        </is>
      </c>
    </row>
    <row r="455" hidden="1" ht="16" customHeight="1" s="33">
      <c r="A455" s="7" t="inlineStr">
        <is>
          <t>TC-STR-019</t>
        </is>
      </c>
      <c r="B455" s="7" t="inlineStr">
        <is>
          <t>L3</t>
        </is>
      </c>
      <c r="C455" s="8" t="inlineStr">
        <is>
          <t>Full rack bringup with ~5% ports down — vPOD comes up degraded (not failed)</t>
        </is>
      </c>
      <c r="D455" t="inlineStr">
        <is>
          <t>Yes</t>
        </is>
      </c>
      <c r="F455" t="inlineStr">
        <is>
          <t>PARTIAL</t>
        </is>
      </c>
      <c r="G455" t="inlineStr">
        <is>
          <t>AFM 0.1.0-AICC-817</t>
        </is>
      </c>
      <c r="H455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55" s="21" t="inlineStr">
        <is>
          <t>AFM API + switch SSH</t>
        </is>
      </c>
      <c r="J455" s="21" t="inlineStr">
        <is>
          <t>Switch</t>
        </is>
      </c>
      <c r="K455" s="21" t="inlineStr">
        <is>
          <t>BKC-26.12 plan</t>
        </is>
      </c>
      <c r="L455" t="inlineStr">
        <is>
          <t>Disruptive</t>
        </is>
      </c>
    </row>
    <row r="456" hidden="1" ht="32" customHeight="1" s="33">
      <c r="A456" s="7" t="inlineStr">
        <is>
          <t>TC-STR-020</t>
        </is>
      </c>
      <c r="B456" s="7" t="inlineStr">
        <is>
          <t>L3</t>
        </is>
      </c>
      <c r="C456" s="8" t="inlineStr">
        <is>
          <t>4-hour soak — periodic vPOD operations at full scale</t>
        </is>
      </c>
      <c r="D456" t="inlineStr">
        <is>
          <t>Yes</t>
        </is>
      </c>
      <c r="F456" t="inlineStr">
        <is>
          <t>PARTIAL</t>
        </is>
      </c>
      <c r="G456" t="inlineStr">
        <is>
          <t>AFM 0.1.0-AICC-817</t>
        </is>
      </c>
      <c r="H456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56" s="21" t="inlineStr">
        <is>
          <t>AFM API (disruptive)</t>
        </is>
      </c>
      <c r="J456" s="21" t="inlineStr">
        <is>
          <t>Switch (AFM API)</t>
        </is>
      </c>
      <c r="K456" s="21" t="inlineStr">
        <is>
          <t>BKC-26.12 plan</t>
        </is>
      </c>
      <c r="L456" t="inlineStr">
        <is>
          <t>Disruptive</t>
        </is>
      </c>
    </row>
    <row r="457" ht="16" customHeight="1" s="33">
      <c r="A457" s="7" t="inlineStr">
        <is>
          <t>TC-STR-021</t>
        </is>
      </c>
      <c r="B457" s="7" t="inlineStr">
        <is>
          <t>L3</t>
        </is>
      </c>
      <c r="C457" s="8" t="inlineStr">
        <is>
          <t>Repeated full rack teardown and rebuild — 3 cycles</t>
        </is>
      </c>
      <c r="D457" t="inlineStr">
        <is>
          <t>No</t>
        </is>
      </c>
      <c r="F457" s="18" t="inlineStr">
        <is>
          <t>NA</t>
        </is>
      </c>
      <c r="H457" t="inlineStr">
        <is>
          <t>[Not automated, 15 Oct 2026] Reason: the plan gives no procedure or pass criteria. Needed (from AMD / lab): STR-*: durations, scale targets and pass thresholds for the stress cases. (details: docs/amd-inputs.html in helios-tests)</t>
        </is>
      </c>
      <c r="I457" s="21" t="inlineStr">
        <is>
          <t>AFM API + switch SSH (full rack, long run)</t>
        </is>
      </c>
      <c r="J457" s="21" t="inlineStr">
        <is>
          <t>Switch</t>
        </is>
      </c>
      <c r="K457" s="21" t="inlineStr">
        <is>
          <t>BKC-26.12 plan</t>
        </is>
      </c>
      <c r="L457" t="inlineStr">
        <is>
          <t>Disruptive (est.)</t>
        </is>
      </c>
    </row>
    <row r="458" hidden="1" ht="16" customHeight="1" s="33">
      <c r="A458" s="7" t="inlineStr">
        <is>
          <t>TC-STR-022</t>
        </is>
      </c>
      <c r="B458" s="7" t="inlineStr">
        <is>
          <t>L3</t>
        </is>
      </c>
      <c r="C458" s="8" t="inlineStr">
        <is>
          <t>Simultaneous port failures across 6 compute nodes — single reconfigure</t>
        </is>
      </c>
      <c r="D458" t="inlineStr">
        <is>
          <t>No</t>
        </is>
      </c>
      <c r="F458" t="inlineStr">
        <is>
          <t>NA</t>
        </is>
      </c>
      <c r="H458" t="inlineStr">
        <is>
          <t>[Not automated, 15 Oct 2026] Reason: the plan gives no procedure or pass criteria. Needed (from AMD / lab): STR-*: durations, scale targets and pass thresholds for the stress cases. (details: docs/amd-inputs.html in helios-tests)</t>
        </is>
      </c>
      <c r="I458" s="21" t="inlineStr">
        <is>
          <t>AFM API + switch SSH (full rack, long run)</t>
        </is>
      </c>
      <c r="J458" s="21" t="inlineStr">
        <is>
          <t>Switch</t>
        </is>
      </c>
      <c r="K458" s="21" t="inlineStr">
        <is>
          <t>BKC-26.12 plan</t>
        </is>
      </c>
      <c r="L458" t="inlineStr">
        <is>
          <t>Non-disruptive (est.)</t>
        </is>
      </c>
    </row>
    <row r="459" hidden="1" ht="32" customHeight="1" s="33">
      <c r="A459" s="7" t="inlineStr">
        <is>
          <t>TC-STR-023</t>
        </is>
      </c>
      <c r="B459" s="7" t="inlineStr">
        <is>
          <t>L3</t>
        </is>
      </c>
      <c r="C459" s="8" t="inlineStr">
        <is>
          <t>Failover policy attach at full scale — no transient 0/0 switching planes</t>
        </is>
      </c>
      <c r="D459" t="inlineStr">
        <is>
          <t>Yes</t>
        </is>
      </c>
      <c r="F459" t="inlineStr">
        <is>
          <t>PARTIAL</t>
        </is>
      </c>
      <c r="G459" t="inlineStr">
        <is>
          <t>AFM 0.1.0-AICC-817</t>
        </is>
      </c>
      <c r="H459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59" s="21" t="inlineStr">
        <is>
          <t>AFM API (disruptive)</t>
        </is>
      </c>
      <c r="J459" s="21" t="inlineStr">
        <is>
          <t>Switch (AFM API)</t>
        </is>
      </c>
      <c r="K459" s="21" t="inlineStr">
        <is>
          <t>BKC-26.12 plan</t>
        </is>
      </c>
      <c r="L459" t="inlineStr">
        <is>
          <t>Disruptive</t>
        </is>
      </c>
    </row>
    <row r="460" hidden="1" ht="32" customHeight="1" s="33">
      <c r="A460" s="7" t="inlineStr">
        <is>
          <t>TC-STR-024</t>
        </is>
      </c>
      <c r="B460" s="7" t="inlineStr">
        <is>
          <t>L3</t>
        </is>
      </c>
      <c r="C460" s="8" t="inlineStr">
        <is>
          <t>Reconcile at full scale — verify all 72 GPUs and switch states refreshed</t>
        </is>
      </c>
      <c r="D460" t="inlineStr">
        <is>
          <t>Yes</t>
        </is>
      </c>
      <c r="F460" t="inlineStr">
        <is>
          <t>PARTIAL</t>
        </is>
      </c>
      <c r="G460" t="inlineStr">
        <is>
          <t>AFM 0.1.0-AICC-817</t>
        </is>
      </c>
      <c r="H460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60" s="21" t="inlineStr">
        <is>
          <t>AFM API (disruptive)</t>
        </is>
      </c>
      <c r="J460" s="21" t="inlineStr">
        <is>
          <t>Switch (AFM API)</t>
        </is>
      </c>
      <c r="K460" s="21" t="inlineStr">
        <is>
          <t>BKC-26.12 plan</t>
        </is>
      </c>
      <c r="L460" t="inlineStr">
        <is>
          <t>Disruptive</t>
        </is>
      </c>
    </row>
    <row r="461" hidden="1" ht="16" customHeight="1" s="33">
      <c r="A461" s="7" t="inlineStr">
        <is>
          <t>TC-SWA-037</t>
        </is>
      </c>
      <c r="B461" s="7" t="inlineStr">
        <is>
          <t>L3</t>
        </is>
      </c>
      <c r="C461" s="8" t="inlineStr">
        <is>
          <t>Decommission only removes AIFM-managed VLANs and preserves user-created VLANs</t>
        </is>
      </c>
      <c r="D461" t="inlineStr">
        <is>
          <t>Yes</t>
        </is>
      </c>
      <c r="F461" t="inlineStr">
        <is>
          <t>PARTIAL</t>
        </is>
      </c>
      <c r="G461" t="inlineStr">
        <is>
          <t>AFM 0.1.0-AICC-817</t>
        </is>
      </c>
      <c r="H461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61" s="21" t="inlineStr">
        <is>
          <t>AFM API + switch SSH</t>
        </is>
      </c>
      <c r="J461" s="21" t="inlineStr">
        <is>
          <t>Switch</t>
        </is>
      </c>
      <c r="K461" s="21" t="inlineStr">
        <is>
          <t>BKC-26.12 plan</t>
        </is>
      </c>
      <c r="L461" t="inlineStr">
        <is>
          <t>Disruptive</t>
        </is>
      </c>
    </row>
    <row r="462" hidden="1" ht="48" customHeight="1" s="33">
      <c r="A462" s="7" t="inlineStr">
        <is>
          <t>TC-SWA-074</t>
        </is>
      </c>
      <c r="B462" s="7" t="inlineStr">
        <is>
          <t>L3</t>
        </is>
      </c>
      <c r="C462" s="8" t="inlineStr">
        <is>
          <t>Interface counters show no errors</t>
        </is>
      </c>
      <c r="D462" t="inlineStr">
        <is>
          <t>Yes</t>
        </is>
      </c>
      <c r="F462" t="inlineStr">
        <is>
          <t>FAIL</t>
        </is>
      </c>
      <c r="G462" t="inlineStr">
        <is>
          <t>SONiC.202505I20260915070938_x100.15; afm-agent/controller 202505I20260915070938_x100.15</t>
        </is>
      </c>
      <c r="H462" s="21" t="inlineStr">
        <is>
          <t>[g02-g17 full rack, non-disruptive switch + AFM API, 14 Oct 2026] st6/asic1: Ethernet486 (To ComputeTray Slot16/GPU2[66]/Port4): RX_DRP=68,719,476,736 (1505260.5% of RX_OK) (helios-tests fullrack-switch-nd-filtered, g02-g17-20261014-092828, g02-g17-20261014-170350, g02-g17-20261014-170910)</t>
        </is>
      </c>
      <c r="I462" s="21" t="inlineStr">
        <is>
          <t>Switch SSH</t>
        </is>
      </c>
      <c r="J462" s="21" t="inlineStr">
        <is>
          <t>Switch</t>
        </is>
      </c>
      <c r="K462" s="21" t="inlineStr">
        <is>
          <t>BKC-26.12 plan</t>
        </is>
      </c>
      <c r="L462" t="inlineStr">
        <is>
          <t>Non-disruptive</t>
        </is>
      </c>
    </row>
    <row r="463" hidden="1" ht="32" customHeight="1" s="33">
      <c r="A463" s="7" t="inlineStr">
        <is>
          <t>TC-SWA-075</t>
        </is>
      </c>
      <c r="B463" s="7" t="inlineStr">
        <is>
          <t>L3</t>
        </is>
      </c>
      <c r="C463" s="8" t="inlineStr">
        <is>
          <t>Traffic is flowing through interfaces</t>
        </is>
      </c>
      <c r="D463" t="inlineStr">
        <is>
          <t>Yes</t>
        </is>
      </c>
      <c r="F463" t="inlineStr">
        <is>
          <t>PASS</t>
        </is>
      </c>
      <c r="G463" t="inlineStr">
        <is>
          <t>SONiC.202505I20260915070938_x100.15; afm-agent/controller 202505I20260915070938_x100.15</t>
        </is>
      </c>
      <c r="H463" s="21" t="inlineStr">
        <is>
          <t>[g02-g17 full rack, non-disruptive switch + AFM API, 14 Oct 2026] 6 item(s) passed (helios-tests fullrack-switch-nd-filtered, g02-g17-20261014-092828, g02-g17-20261014-170350, g02-g17-20261014-170910)</t>
        </is>
      </c>
      <c r="I463" s="21" t="inlineStr">
        <is>
          <t>Switch SSH</t>
        </is>
      </c>
      <c r="J463" s="21" t="inlineStr">
        <is>
          <t>Switch</t>
        </is>
      </c>
      <c r="K463" s="21" t="inlineStr">
        <is>
          <t>BKC-26.12 plan</t>
        </is>
      </c>
      <c r="L463" t="inlineStr">
        <is>
          <t>Non-disruptive</t>
        </is>
      </c>
    </row>
    <row r="464" hidden="1" ht="32" customHeight="1" s="33">
      <c r="A464" s="7" t="inlineStr">
        <is>
          <t>TC-SWA-079</t>
        </is>
      </c>
      <c r="B464" s="7" t="inlineStr">
        <is>
          <t>L3</t>
        </is>
      </c>
      <c r="C464" s="8" t="inlineStr">
        <is>
          <t>VLAN configuration symmetry across ASICs</t>
        </is>
      </c>
      <c r="D464" t="inlineStr">
        <is>
          <t>Yes</t>
        </is>
      </c>
      <c r="F464" t="inlineStr">
        <is>
          <t>PASS</t>
        </is>
      </c>
      <c r="G464" t="inlineStr">
        <is>
          <t>SONiC.202505I20260915070938_x100.15; afm-agent/controller 202505I20260915070938_x100.15</t>
        </is>
      </c>
      <c r="H464" s="21" t="inlineStr">
        <is>
          <t>[g02-g17 full rack, non-disruptive switch + AFM API, 14 Oct 2026] 6 item(s) passed (helios-tests fullrack-switch-nd-filtered, g02-g17-20261014-092828, g02-g17-20261014-170350, g02-g17-20261014-170910)</t>
        </is>
      </c>
      <c r="I464" s="21" t="inlineStr">
        <is>
          <t>Switch SSH</t>
        </is>
      </c>
      <c r="J464" s="21" t="inlineStr">
        <is>
          <t>Switch</t>
        </is>
      </c>
      <c r="K464" s="21" t="inlineStr">
        <is>
          <t>BKC-26.12 plan</t>
        </is>
      </c>
      <c r="L464" t="inlineStr">
        <is>
          <t>Non-disruptive</t>
        </is>
      </c>
    </row>
    <row r="465" hidden="1" ht="16" customHeight="1" s="33">
      <c r="A465" s="7" t="inlineStr">
        <is>
          <t>TC-SWA-128</t>
        </is>
      </c>
      <c r="B465" s="7" t="inlineStr">
        <is>
          <t>L3</t>
        </is>
      </c>
      <c r="C465" s="8" t="inlineStr">
        <is>
          <t>Install image from local file</t>
        </is>
      </c>
      <c r="D465" t="inlineStr">
        <is>
          <t>Yes</t>
        </is>
      </c>
      <c r="I465" s="21" t="inlineStr">
        <is>
          <t>upgrade images + AFM API + switch SSH</t>
        </is>
      </c>
      <c r="J465" s="21" t="inlineStr">
        <is>
          <t>Switch</t>
        </is>
      </c>
      <c r="K465" s="21" t="inlineStr">
        <is>
          <t>BKC-26.12 plan</t>
        </is>
      </c>
      <c r="L465" t="inlineStr">
        <is>
          <t>Disruptive</t>
        </is>
      </c>
    </row>
    <row r="466" hidden="1" ht="32" customHeight="1" s="33">
      <c r="A466" s="7" t="inlineStr">
        <is>
          <t>TC-SWA-129</t>
        </is>
      </c>
      <c r="B466" s="7" t="inlineStr">
        <is>
          <t>L3</t>
        </is>
      </c>
      <c r="C466" s="8" t="inlineStr">
        <is>
          <t>Set next boot image</t>
        </is>
      </c>
      <c r="D466" t="inlineStr">
        <is>
          <t>Yes</t>
        </is>
      </c>
      <c r="F466" t="inlineStr">
        <is>
          <t>PASS</t>
        </is>
      </c>
      <c r="G466" t="inlineStr">
        <is>
          <t>SONiC.202505I20260915070938_x100.15; afm-agent/controller 202505I20260915070938_x100.15</t>
        </is>
      </c>
      <c r="H466" s="21" t="inlineStr">
        <is>
          <t>[g02-g17 full rack, non-disruptive switch + AFM API, 14 Oct 2026] 6 item(s) passed (helios-tests fullrack-switch-nd-filtered, g02-g17-20261014-092828, g02-g17-20261014-170350, g02-g17-20261014-170910)</t>
        </is>
      </c>
      <c r="I466" s="21" t="inlineStr">
        <is>
          <t>Switch SSH</t>
        </is>
      </c>
      <c r="J466" s="21" t="inlineStr">
        <is>
          <t>Switch</t>
        </is>
      </c>
      <c r="K466" s="21" t="inlineStr">
        <is>
          <t>BKC-26.12 plan</t>
        </is>
      </c>
      <c r="L466" t="inlineStr">
        <is>
          <t>Non-disruptive</t>
        </is>
      </c>
    </row>
    <row r="467" hidden="1" ht="32" customHeight="1" s="33">
      <c r="A467" s="7" t="inlineStr">
        <is>
          <t>TC-SWA-138</t>
        </is>
      </c>
      <c r="B467" s="7" t="inlineStr">
        <is>
          <t>L3</t>
        </is>
      </c>
      <c r="C467" s="8" t="inlineStr">
        <is>
          <t>Image management commands are available</t>
        </is>
      </c>
      <c r="D467" t="inlineStr">
        <is>
          <t>Yes</t>
        </is>
      </c>
      <c r="F467" t="inlineStr">
        <is>
          <t>PASS</t>
        </is>
      </c>
      <c r="G467" t="inlineStr">
        <is>
          <t>SONiC.202505I20260915070938_x100.15; afm-agent/controller 202505I20260915070938_x100.15</t>
        </is>
      </c>
      <c r="H467" s="21" t="inlineStr">
        <is>
          <t>[g02-g17 full rack, non-disruptive switch + AFM API, 14 Oct 2026] 6 item(s) passed (helios-tests fullrack-switch-nd-filtered, g02-g17-20261014-092828, g02-g17-20261014-170350, g02-g17-20261014-170910)</t>
        </is>
      </c>
      <c r="I467" s="21" t="inlineStr">
        <is>
          <t>Switch SSH</t>
        </is>
      </c>
      <c r="J467" s="21" t="inlineStr">
        <is>
          <t>Switch</t>
        </is>
      </c>
      <c r="K467" s="21" t="inlineStr">
        <is>
          <t>BKC-26.12 plan</t>
        </is>
      </c>
      <c r="L467" t="inlineStr">
        <is>
          <t>Non-disruptive</t>
        </is>
      </c>
    </row>
    <row r="468" hidden="1" ht="16" customHeight="1" s="33">
      <c r="A468" s="7" t="inlineStr">
        <is>
          <t>TC-SWA-140</t>
        </is>
      </c>
      <c r="B468" s="7" t="inlineStr">
        <is>
          <t>L3</t>
        </is>
      </c>
      <c r="C468" s="8" t="inlineStr">
        <is>
          <t>Restart individual container and verify it recovers</t>
        </is>
      </c>
      <c r="D468" t="inlineStr">
        <is>
          <t>Yes</t>
        </is>
      </c>
      <c r="F468" t="inlineStr">
        <is>
          <t>PARTIAL</t>
        </is>
      </c>
      <c r="G468" t="inlineStr">
        <is>
          <t>AFM 0.1.0-AICC-817</t>
        </is>
      </c>
      <c r="H468" s="21" t="inlineStr">
        <is>
          <t>[g02-g17 disruptive switch/AFM, 17-18 Oct 2026] passed without the quarantined node(s): ct05 (Down)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68" s="21" t="inlineStr">
        <is>
          <t>Switch SSH</t>
        </is>
      </c>
      <c r="J468" s="21" t="inlineStr">
        <is>
          <t>Switch</t>
        </is>
      </c>
      <c r="K468" s="21" t="inlineStr">
        <is>
          <t>BKC-26.12 plan</t>
        </is>
      </c>
      <c r="L468" t="inlineStr">
        <is>
          <t>Disruptive</t>
        </is>
      </c>
    </row>
    <row r="469" hidden="1" ht="16" customHeight="1" s="33">
      <c r="A469" s="7" t="inlineStr">
        <is>
          <t>TC-SWA-141</t>
        </is>
      </c>
      <c r="B469" s="7" t="inlineStr">
        <is>
          <t>L3</t>
        </is>
      </c>
      <c r="C469" s="8" t="inlineStr">
        <is>
          <t>Restart SWSS and verify dependent processes recover</t>
        </is>
      </c>
      <c r="D469" t="inlineStr">
        <is>
          <t>Yes</t>
        </is>
      </c>
      <c r="F469" t="inlineStr">
        <is>
          <t>PARTIAL</t>
        </is>
      </c>
      <c r="G469" t="inlineStr">
        <is>
          <t>AFM 0.1.0-AICC-817</t>
        </is>
      </c>
      <c r="H469" s="21" t="inlineStr">
        <is>
          <t>[g02-g17 disruptive switch/AFM, 17-18 Oct 2026] passed without the quarantined node(s): ct05 (Down)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69" s="21" t="inlineStr">
        <is>
          <t>Switch SSH</t>
        </is>
      </c>
      <c r="J469" s="21" t="inlineStr">
        <is>
          <t>Switch</t>
        </is>
      </c>
      <c r="K469" s="21" t="inlineStr">
        <is>
          <t>BKC-26.12 plan</t>
        </is>
      </c>
      <c r="L469" t="inlineStr">
        <is>
          <t>Disruptive</t>
        </is>
      </c>
    </row>
    <row r="470" hidden="1" ht="16" customHeight="1" s="33">
      <c r="A470" s="7" t="inlineStr">
        <is>
          <t>TC-SWA-164</t>
        </is>
      </c>
      <c r="B470" s="7" t="inlineStr">
        <is>
          <t>L3</t>
        </is>
      </c>
      <c r="C470" s="8" t="inlineStr">
        <is>
          <t>Automatic rollback on upgrade failure</t>
        </is>
      </c>
      <c r="D470" t="inlineStr">
        <is>
          <t>Yes</t>
        </is>
      </c>
      <c r="I470" s="21" t="inlineStr">
        <is>
          <t>upgrade images + AFM API + switch SSH</t>
        </is>
      </c>
      <c r="J470" s="21" t="inlineStr">
        <is>
          <t>Switch</t>
        </is>
      </c>
      <c r="K470" s="21" t="inlineStr">
        <is>
          <t>BKC-26.12 plan</t>
        </is>
      </c>
      <c r="L470" t="inlineStr">
        <is>
          <t>Disruptive</t>
        </is>
      </c>
    </row>
    <row r="471" hidden="1" ht="16" customHeight="1" s="33">
      <c r="A471" s="7" t="inlineStr">
        <is>
          <t>TC-SWA-170</t>
        </is>
      </c>
      <c r="B471" s="7" t="inlineStr">
        <is>
          <t>L3</t>
        </is>
      </c>
      <c r="C471" s="8" t="inlineStr">
        <is>
          <t>Switch addition to topology object when POD (rack) is added</t>
        </is>
      </c>
      <c r="D471" t="inlineStr">
        <is>
          <t>Yes</t>
        </is>
      </c>
      <c r="H471" t="inlineStr">
        <is>
          <t>[Automated, 19 Oct 2026] tests/afm/test_afm_observability.py (read-only; passes on the fake racks, not yet run on a rack)
Earlier: [Not automated, 15 Oct 2026] Reason: needs lab equipment / setup (Fresh install / topology import). Needed (from AMD / lab): A rack we may reinstall, the bootstrap file, the topology CSV format and the SONiC VM with bcmsim. (details: docs/amd-inputs.html in helios-tests)</t>
        </is>
      </c>
      <c r="I471" s="21" t="inlineStr">
        <is>
          <t>Switch SSH (est.)</t>
        </is>
      </c>
      <c r="J471" s="21" t="inlineStr">
        <is>
          <t>Switch</t>
        </is>
      </c>
      <c r="K471" s="21" t="inlineStr">
        <is>
          <t>BKC-26.12 plan</t>
        </is>
      </c>
      <c r="L471" t="inlineStr">
        <is>
          <t>Non-disruptive (est.)</t>
        </is>
      </c>
    </row>
    <row r="472" hidden="1" ht="16" customHeight="1" s="33">
      <c r="A472" s="7" t="inlineStr">
        <is>
          <t>TC-SWA-173</t>
        </is>
      </c>
      <c r="B472" s="7" t="inlineStr">
        <is>
          <t>L3</t>
        </is>
      </c>
      <c r="C472" s="8" t="inlineStr">
        <is>
          <t>Switch Manager must assign switching plane and update the topology</t>
        </is>
      </c>
      <c r="D472" t="inlineStr">
        <is>
          <t>Yes</t>
        </is>
      </c>
      <c r="H472" t="inlineStr">
        <is>
          <t>[Automated, 19 Oct 2026] tests/afm/test_afm_observability.py (read-only; passes on the fake racks, not yet run on a rack)
Earlier: [Not automated, 15 Oct 2026] Reason: the plan gives no procedure or pass criteria. Needed (from AMD / lab): Steps and expected results - the plan gives a title only. (details: docs/amd-inputs.html in helios-tests)</t>
        </is>
      </c>
      <c r="I472" s="21" t="inlineStr">
        <is>
          <t>Switch SSH (est.)</t>
        </is>
      </c>
      <c r="J472" s="21" t="inlineStr">
        <is>
          <t>Switch</t>
        </is>
      </c>
      <c r="K472" s="21" t="inlineStr">
        <is>
          <t>BKC-26.12 plan</t>
        </is>
      </c>
      <c r="L472" t="inlineStr">
        <is>
          <t>Non-disruptive (est.)</t>
        </is>
      </c>
    </row>
    <row r="473" hidden="1" ht="16" customHeight="1" s="33">
      <c r="A473" s="7" t="inlineStr">
        <is>
          <t>TC-SWA-175</t>
        </is>
      </c>
      <c r="B473" s="7" t="inlineStr">
        <is>
          <t>L3</t>
        </is>
      </c>
      <c r="C473" s="8" t="inlineStr">
        <is>
          <t>Sonic VM with services for agent, libsai and bcmsim running</t>
        </is>
      </c>
      <c r="D473" t="inlineStr">
        <is>
          <t>No</t>
        </is>
      </c>
      <c r="F473" t="inlineStr">
        <is>
          <t>NA</t>
        </is>
      </c>
      <c r="H473" t="inlineStr">
        <is>
          <t>[Not automated, 15 Oct 2026] Reason: needs lab equipment / setup (Fresh install / topology import). Needed (from AMD / lab): A rack we may reinstall, the bootstrap file, the topology CSV format and the SONiC VM with bcmsim. (details: docs/amd-inputs.html in helios-tests)</t>
        </is>
      </c>
      <c r="I473" s="21" t="inlineStr">
        <is>
          <t>Switch SSH (est.)</t>
        </is>
      </c>
      <c r="J473" s="21" t="inlineStr">
        <is>
          <t>Switch</t>
        </is>
      </c>
      <c r="K473" s="21" t="inlineStr">
        <is>
          <t>BKC-26.12 plan</t>
        </is>
      </c>
      <c r="L473" t="inlineStr">
        <is>
          <t>Non-disruptive (est.)</t>
        </is>
      </c>
    </row>
    <row r="474" hidden="1" ht="16" customHeight="1" s="33">
      <c r="A474" s="7" t="inlineStr">
        <is>
          <t>TC-SWA-180</t>
        </is>
      </c>
      <c r="B474" s="7" t="inlineStr">
        <is>
          <t>L3</t>
        </is>
      </c>
      <c r="C474" s="8" t="inlineStr">
        <is>
          <t>Data fabric update on VPOD CRUD</t>
        </is>
      </c>
      <c r="D474" t="inlineStr">
        <is>
          <t>Yes</t>
        </is>
      </c>
      <c r="F474" t="inlineStr">
        <is>
          <t>PARTIAL</t>
        </is>
      </c>
      <c r="G474" t="inlineStr">
        <is>
          <t>AFM 0.1.0-AICC-817</t>
        </is>
      </c>
      <c r="H474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74" s="21" t="inlineStr">
        <is>
          <t>AFM API + switch SSH</t>
        </is>
      </c>
      <c r="J474" s="21" t="inlineStr">
        <is>
          <t>Switch</t>
        </is>
      </c>
      <c r="K474" s="21" t="inlineStr">
        <is>
          <t>BKC-26.12 plan</t>
        </is>
      </c>
      <c r="L474" t="inlineStr">
        <is>
          <t>Disruptive</t>
        </is>
      </c>
    </row>
    <row r="475" hidden="1" ht="16" customHeight="1" s="33">
      <c r="A475" s="7" t="inlineStr">
        <is>
          <t>TC-SWA-185</t>
        </is>
      </c>
      <c r="B475" s="7" t="inlineStr">
        <is>
          <t>L3</t>
        </is>
      </c>
      <c r="C475" s="8" t="inlineStr">
        <is>
          <t>CMD &lt;-&gt; Switch Manager &lt;-&gt; Switch Agent NMD</t>
        </is>
      </c>
      <c r="D475" t="inlineStr">
        <is>
          <t>No</t>
        </is>
      </c>
      <c r="F475" t="inlineStr">
        <is>
          <t>NA</t>
        </is>
      </c>
      <c r="H475" t="inlineStr">
        <is>
          <t>[Not automated, 15 Oct 2026] Reason: checks controller internals the AFM API does not show. Needed (from AMD / lab): Where the event hub's configuration and state can be read or set: batch interval, the 2-second coalescing window, high-priority bypass, handler mode, action trees per vPOD. Container or process names to restart or stop the switch manager, compute manager, node manager and topology service individually. A way to observe NMD admission decisions and ... (details: docs/amd-inputs.html in helios-tests)</t>
        </is>
      </c>
      <c r="I475" s="21" t="inlineStr">
        <is>
          <t>Switch SSH (est.)</t>
        </is>
      </c>
      <c r="J475" s="21" t="inlineStr">
        <is>
          <t>Switch</t>
        </is>
      </c>
      <c r="K475" s="21" t="inlineStr">
        <is>
          <t>BKC-26.12 plan</t>
        </is>
      </c>
      <c r="L475" t="inlineStr">
        <is>
          <t>Non-disruptive (est.)</t>
        </is>
      </c>
    </row>
    <row r="476" hidden="1" ht="16" customHeight="1" s="33">
      <c r="A476" s="7" t="inlineStr">
        <is>
          <t>TC-SWA-186</t>
        </is>
      </c>
      <c r="B476" s="7" t="inlineStr">
        <is>
          <t>L3</t>
        </is>
      </c>
      <c r="C476" s="8" t="inlineStr">
        <is>
          <t>Admission of Switch with invalid or expired cert</t>
        </is>
      </c>
      <c r="D476" t="inlineStr">
        <is>
          <t>No</t>
        </is>
      </c>
      <c r="F476" t="inlineStr">
        <is>
          <t>NA</t>
        </is>
      </c>
      <c r="H476" t="inlineStr">
        <is>
          <t>[Not automated, 15 Oct 2026] Reason: needs lab equipment / setup (Certificates / PKI). Needed (from AMD / lab): The procedure and test CA to upload a custom controller certificate, and to present an untrusted client certificate. (details: docs/amd-inputs.html in helios-tests)</t>
        </is>
      </c>
      <c r="I476" s="21" t="inlineStr">
        <is>
          <t>Switch SSH (est.)</t>
        </is>
      </c>
      <c r="J476" s="21" t="inlineStr">
        <is>
          <t>Switch</t>
        </is>
      </c>
      <c r="K476" s="21" t="inlineStr">
        <is>
          <t>BKC-26.12 plan</t>
        </is>
      </c>
      <c r="L476" t="inlineStr">
        <is>
          <t>Non-disruptive (est.)</t>
        </is>
      </c>
    </row>
    <row r="477" hidden="1" ht="16" customHeight="1" s="33">
      <c r="A477" s="7" t="inlineStr">
        <is>
          <t>TC-SWA-195</t>
        </is>
      </c>
      <c r="B477" s="7" t="inlineStr">
        <is>
          <t>L3</t>
        </is>
      </c>
      <c r="C477" s="8" t="inlineStr">
        <is>
          <t>Empty topology object created from CSV file having switches</t>
        </is>
      </c>
      <c r="D477" t="inlineStr">
        <is>
          <t>No</t>
        </is>
      </c>
      <c r="F477" t="inlineStr">
        <is>
          <t>NA</t>
        </is>
      </c>
      <c r="H477" t="inlineStr">
        <is>
          <t>[Not automated, 15 Oct 2026] Reason: needs lab equipment / setup (Fresh install / topology import). Needed (from AMD / lab): A rack we may reinstall, the bootstrap file, the topology CSV format and the SONiC VM with bcmsim. (details: docs/amd-inputs.html in helios-tests)</t>
        </is>
      </c>
      <c r="I477" s="21" t="inlineStr">
        <is>
          <t>Switch SSH (est.)</t>
        </is>
      </c>
      <c r="J477" s="21" t="inlineStr">
        <is>
          <t>Switch</t>
        </is>
      </c>
      <c r="K477" s="21" t="inlineStr">
        <is>
          <t>BKC-26.12 plan</t>
        </is>
      </c>
      <c r="L477" t="inlineStr">
        <is>
          <t>Non-disruptive (est.)</t>
        </is>
      </c>
    </row>
    <row r="478" hidden="1" ht="16" customHeight="1" s="33">
      <c r="A478" s="7" t="inlineStr">
        <is>
          <t>TC-SWA-202</t>
        </is>
      </c>
      <c r="B478" s="7" t="inlineStr">
        <is>
          <t>L3</t>
        </is>
      </c>
      <c r="C478" s="8" t="inlineStr">
        <is>
          <t>Switch port details (Speed, FEC, duplex, vlan) updated</t>
        </is>
      </c>
      <c r="D478" t="inlineStr">
        <is>
          <t>No</t>
        </is>
      </c>
      <c r="F478" t="inlineStr">
        <is>
          <t>NA</t>
        </is>
      </c>
      <c r="H478" t="inlineStr">
        <is>
          <t>[Not automated, 15 Oct 2026] Reason: the plan gives no procedure or pass criteria. Needed (from AMD / lab): E2E-064 / SWA-202: which AFM fields hold port speed, FEC, auto-negotiation and duplex? How does an AFM ASIC port id map to a SONiC port name? (details: docs/amd-inputs.html in helios-tests)</t>
        </is>
      </c>
      <c r="I478" s="21" t="inlineStr">
        <is>
          <t>Switch SSH (est.)</t>
        </is>
      </c>
      <c r="J478" s="21" t="inlineStr">
        <is>
          <t>Switch</t>
        </is>
      </c>
      <c r="K478" s="21" t="inlineStr">
        <is>
          <t>BKC-26.12 plan</t>
        </is>
      </c>
      <c r="L478" t="inlineStr">
        <is>
          <t>Non-disruptive (est.)</t>
        </is>
      </c>
    </row>
    <row r="479" hidden="1" ht="16" customHeight="1" s="33">
      <c r="A479" s="7" t="inlineStr">
        <is>
          <t>TC-SWA-204</t>
        </is>
      </c>
      <c r="B479" s="7" t="inlineStr">
        <is>
          <t>L3</t>
        </is>
      </c>
      <c r="C479" s="8" t="inlineStr">
        <is>
          <t>The various switch states: Unknown, Initializing, Ready, Failed</t>
        </is>
      </c>
      <c r="D479" t="inlineStr">
        <is>
          <t>Yes</t>
        </is>
      </c>
      <c r="F479" t="inlineStr">
        <is>
          <t>PARTIAL</t>
        </is>
      </c>
      <c r="G479" t="inlineStr">
        <is>
          <t>AFM 0.1.0-AICC-817</t>
        </is>
      </c>
      <c r="H479" s="21" t="inlineStr">
        <is>
          <t>[g02-g17 disruptive switch/AFM, 17-18 Oct 2026] PARTIAL - passed, NOT run on the quarantined node(s) ct05 (Down) - lift the quarantine and re-run for a full PASS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79" s="21" t="inlineStr">
        <is>
          <t>AFM API + switch SSH</t>
        </is>
      </c>
      <c r="J479" s="21" t="inlineStr">
        <is>
          <t>Switch</t>
        </is>
      </c>
      <c r="K479" s="21" t="inlineStr">
        <is>
          <t>BKC-26.12 plan</t>
        </is>
      </c>
      <c r="L479" t="inlineStr">
        <is>
          <t>Disruptive</t>
        </is>
      </c>
    </row>
    <row r="480" hidden="1" ht="16" customHeight="1" s="33">
      <c r="A480" s="7" t="inlineStr">
        <is>
          <t>TC-SWA-208</t>
        </is>
      </c>
      <c r="B480" s="7" t="inlineStr">
        <is>
          <t>L3</t>
        </is>
      </c>
      <c r="C480" s="8" t="inlineStr">
        <is>
          <t>Switch manager maintains the configuration of the switches</t>
        </is>
      </c>
      <c r="D480" t="inlineStr">
        <is>
          <t>Yes</t>
        </is>
      </c>
      <c r="H480" t="inlineStr">
        <is>
          <t>[Automated, 19 Oct 2026] tests/afm/test_afm_observability.py (read-only; passes on the fake racks, not yet run on a rack)
Earlier: [Not automated, 15 Oct 2026] Reason: the plan gives no procedure or pass criteria. Needed (from AMD / lab): Steps and expected results - the plan gives a title only. (details: docs/amd-inputs.html in helios-tests)</t>
        </is>
      </c>
      <c r="I480" s="21" t="inlineStr">
        <is>
          <t>Switch SSH (est.)</t>
        </is>
      </c>
      <c r="J480" s="21" t="inlineStr">
        <is>
          <t>Switch</t>
        </is>
      </c>
      <c r="K480" s="21" t="inlineStr">
        <is>
          <t>BKC-26.12 plan</t>
        </is>
      </c>
      <c r="L480" t="inlineStr">
        <is>
          <t>Non-disruptive (est.)</t>
        </is>
      </c>
    </row>
    <row r="481" hidden="1" ht="16" customHeight="1" s="33">
      <c r="A481" s="7" t="inlineStr">
        <is>
          <t>TC-SWA-210</t>
        </is>
      </c>
      <c r="B481" s="7" t="inlineStr">
        <is>
          <t>L3</t>
        </is>
      </c>
      <c r="C481" s="8" t="inlineStr">
        <is>
          <t>How to get port in training or unknown state</t>
        </is>
      </c>
      <c r="D481" t="inlineStr">
        <is>
          <t>No</t>
        </is>
      </c>
      <c r="F481" t="inlineStr">
        <is>
          <t>NA</t>
        </is>
      </c>
      <c r="H481" t="inlineStr">
        <is>
          <t>[Not automated, 15 Oct 2026] Reason: the plan gives no procedure or pass criteria. Needed (from AMD / lab): Steps and expected results - the plan gives a title only. (details: docs/amd-inputs.html in helios-tests)</t>
        </is>
      </c>
      <c r="I481" s="21" t="inlineStr">
        <is>
          <t>Switch SSH (est.)</t>
        </is>
      </c>
      <c r="J481" s="21" t="inlineStr">
        <is>
          <t>Switch</t>
        </is>
      </c>
      <c r="K481" s="21" t="inlineStr">
        <is>
          <t>BKC-26.12 plan</t>
        </is>
      </c>
      <c r="L481" t="inlineStr">
        <is>
          <t>Non-disruptive (est.)</t>
        </is>
      </c>
    </row>
    <row r="482" hidden="1" ht="16" customHeight="1" s="33">
      <c r="A482" s="7" t="inlineStr">
        <is>
          <t>TC-SWA-214</t>
        </is>
      </c>
      <c r="B482" s="7" t="inlineStr">
        <is>
          <t>L3</t>
        </is>
      </c>
      <c r="C482" s="8" t="inlineStr">
        <is>
          <t>Automatic Data fabric reconfigure on configure policy timer expiry</t>
        </is>
      </c>
      <c r="D482" t="inlineStr">
        <is>
          <t>Yes</t>
        </is>
      </c>
      <c r="F482" t="inlineStr">
        <is>
          <t>FAIL</t>
        </is>
      </c>
      <c r="G482" t="inlineStr">
        <is>
          <t>AFM 0.1.0-AICC-817</t>
        </is>
      </c>
      <c r="H482" s="21" t="inlineStr">
        <is>
          <t>[g02-g17 disruptive switch/AFM, 17-18 Oct 2026] pod-1.system not auto-reconfigured: degraded (36, 33, 33) (helios-tests g02-g17-20261017-123046, g02-g17-20261017-134645, g02-g17-20261017-144312, g02-g17-20261017-145357, g02-g17-20261017-175628, g02-g17-20261017-195417, g02-g17-20261017-222937, g02-g17-20261017-234027, g02-g17-20261018-000904, g02-g17-20261018-003459, g02-g17-20261018-004719, g02-g17-20261018-012110, g02-g17-20261018-025416, g02-g17-20261018-044544, g02-g17-20261018-085415, g02-g17-20261018-091137)</t>
        </is>
      </c>
      <c r="I482" s="21" t="inlineStr">
        <is>
          <t>AFM API + switch SSH</t>
        </is>
      </c>
      <c r="J482" s="21" t="inlineStr">
        <is>
          <t>Switch</t>
        </is>
      </c>
      <c r="K482" s="21" t="inlineStr">
        <is>
          <t>BKC-26.12 plan</t>
        </is>
      </c>
      <c r="L482" t="inlineStr">
        <is>
          <t>Disruptive</t>
        </is>
      </c>
    </row>
    <row r="483" hidden="1" ht="48" customHeight="1" s="33">
      <c r="A483" s="7" t="inlineStr">
        <is>
          <t>TC-SWA-223</t>
        </is>
      </c>
      <c r="B483" s="7" t="inlineStr">
        <is>
          <t>L3</t>
        </is>
      </c>
      <c r="C483" s="8" t="inlineStr">
        <is>
          <t>LLDP service is used to discover links</t>
        </is>
      </c>
      <c r="D483" t="inlineStr">
        <is>
          <t>Yes</t>
        </is>
      </c>
      <c r="F483" t="inlineStr">
        <is>
          <t>FAIL</t>
        </is>
      </c>
      <c r="G483" t="inlineStr">
        <is>
          <t>SONiC.202505I20260915070938_x100.15; afm-agent/controller 202505I20260915070938_x100.15</t>
        </is>
      </c>
      <c r="H483" s="21" t="inlineStr">
        <is>
          <t>[g02-g17 full rack, non-disruptive switch + AFM API, 14 Oct 2026] st1/asic0: lldpd running but no neighbours discovered; st1/asic1: lldpd running but no neighbours discovered (helios-tests fullrack-switch-nd-filtered, g02-g17-20261014-092828, g02-g17-20261014-170350, g02-g17-20261014-170910)</t>
        </is>
      </c>
      <c r="I483" s="21" t="inlineStr">
        <is>
          <t>Switch SSH</t>
        </is>
      </c>
      <c r="J483" s="21" t="inlineStr">
        <is>
          <t>Switch</t>
        </is>
      </c>
      <c r="K483" s="21" t="inlineStr">
        <is>
          <t>BKC-26.12 plan</t>
        </is>
      </c>
      <c r="L483" t="inlineStr">
        <is>
          <t>Non-disruptive</t>
        </is>
      </c>
    </row>
    <row r="484" hidden="1" ht="64" customHeight="1" s="33">
      <c r="A484" s="7" t="inlineStr">
        <is>
          <t>TC-SWH-001</t>
        </is>
      </c>
      <c r="B484" s="7" t="inlineStr">
        <is>
          <t>L1</t>
        </is>
      </c>
      <c r="C484" s="5" t="inlineStr">
        <is>
          <t>Platform firmware components (BIOS, CPLD, FPGA)</t>
        </is>
      </c>
      <c r="D484" t="inlineStr">
        <is>
          <t>Yes</t>
        </is>
      </c>
      <c r="F484" t="inlineStr">
        <is>
          <t>PASS</t>
        </is>
      </c>
      <c r="G484" t="inlineStr">
        <is>
          <t>SONiC.202505I20260915070938_x100.15; afm-agent/controller 202505I20260915070938_x100.15</t>
        </is>
      </c>
      <c r="H484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484" s="21" t="inlineStr">
        <is>
          <t>Switch SSH</t>
        </is>
      </c>
      <c r="J484" s="21" t="inlineStr">
        <is>
          <t>Switch</t>
        </is>
      </c>
      <c r="K484" s="21" t="inlineStr">
        <is>
          <t>BKC-26.12 plan</t>
        </is>
      </c>
      <c r="L484" s="21" t="inlineStr">
        <is>
          <t>Non-disruptive</t>
        </is>
      </c>
    </row>
    <row r="485" hidden="1" ht="64" customHeight="1" s="33">
      <c r="A485" s="7" t="inlineStr">
        <is>
          <t>TC-SWH-002</t>
        </is>
      </c>
      <c r="B485" s="7" t="inlineStr">
        <is>
          <t>L1</t>
        </is>
      </c>
      <c r="C485" s="5" t="inlineStr">
        <is>
          <t>Fan speeds are within acceptable range</t>
        </is>
      </c>
      <c r="D485" t="inlineStr">
        <is>
          <t>Yes</t>
        </is>
      </c>
      <c r="F485" t="inlineStr">
        <is>
          <t>PASS</t>
        </is>
      </c>
      <c r="G485" t="inlineStr">
        <is>
          <t>SONiC.202505I20260915070938_x100.15; afm-agent/controller 202505I20260915070938_x100.15; ROCm 10.2.0a20260922</t>
        </is>
      </c>
      <c r="H485" s="21" t="inlineStr">
        <is>
          <t>[g02-g17 full rack, rack health check: ran 2026-10-15 15:10 UTC (run g02-g17-20261015-151528), health result g02-g17-20261016-135436-merged] PASS.
Earlier: 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485" s="21" t="inlineStr">
        <is>
          <t>Switch SSH</t>
        </is>
      </c>
      <c r="J485" s="21" t="inlineStr">
        <is>
          <t>Switch</t>
        </is>
      </c>
      <c r="K485" s="21" t="inlineStr">
        <is>
          <t>BKC-26.12 plan</t>
        </is>
      </c>
      <c r="L485" s="21" t="inlineStr">
        <is>
          <t>Non-disruptive</t>
        </is>
      </c>
      <c r="M485" s="21" t="inlineStr">
        <is>
          <t>Warning</t>
        </is>
      </c>
    </row>
    <row r="486" hidden="1" ht="64" customHeight="1" s="33">
      <c r="A486" s="7" t="inlineStr">
        <is>
          <t>TC-SWH-003</t>
        </is>
      </c>
      <c r="B486" s="7" t="inlineStr">
        <is>
          <t>L1</t>
        </is>
      </c>
      <c r="C486" s="5" t="inlineStr">
        <is>
          <t>Fan speeds are consistent across all fans</t>
        </is>
      </c>
      <c r="D486" t="inlineStr">
        <is>
          <t>Yes</t>
        </is>
      </c>
      <c r="F486" t="inlineStr">
        <is>
          <t>PASS</t>
        </is>
      </c>
      <c r="G486" t="inlineStr">
        <is>
          <t>SONiC.202505I20260915070938_x100.15; afm-agent/controller 202505I20260915070938_x100.15</t>
        </is>
      </c>
      <c r="H486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486" s="21" t="inlineStr">
        <is>
          <t>Switch SSH</t>
        </is>
      </c>
      <c r="J486" s="21" t="inlineStr">
        <is>
          <t>Switch</t>
        </is>
      </c>
      <c r="K486" s="21" t="inlineStr">
        <is>
          <t>BKC-26.12 plan</t>
        </is>
      </c>
      <c r="L486" s="21" t="inlineStr">
        <is>
          <t>Non-disruptive</t>
        </is>
      </c>
    </row>
    <row r="487" hidden="1" ht="64" customHeight="1" s="33">
      <c r="A487" s="7" t="inlineStr">
        <is>
          <t>TC-SWH-004</t>
        </is>
      </c>
      <c r="B487" s="7" t="inlineStr">
        <is>
          <t>L1</t>
        </is>
      </c>
      <c r="C487" s="5" t="inlineStr">
        <is>
          <t>Fan speed adjusts based on temperature</t>
        </is>
      </c>
      <c r="D487" t="inlineStr">
        <is>
          <t>Yes</t>
        </is>
      </c>
      <c r="F487" t="inlineStr">
        <is>
          <t>PASS</t>
        </is>
      </c>
      <c r="G487" t="inlineStr">
        <is>
          <t>SONiC.202505I20260915070938_x100.15; afm-agent/controller 202505I20260915070938_x100.15</t>
        </is>
      </c>
      <c r="H487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487" s="21" t="inlineStr">
        <is>
          <t>Switch SSH</t>
        </is>
      </c>
      <c r="J487" s="21" t="inlineStr">
        <is>
          <t>Switch</t>
        </is>
      </c>
      <c r="K487" s="21" t="inlineStr">
        <is>
          <t>BKC-26.12 plan</t>
        </is>
      </c>
      <c r="L487" s="21" t="inlineStr">
        <is>
          <t>Non-disruptive</t>
        </is>
      </c>
    </row>
    <row r="488" hidden="1" ht="48" customHeight="1" s="33">
      <c r="A488" s="7" t="inlineStr">
        <is>
          <t>TC-SWH-005</t>
        </is>
      </c>
      <c r="B488" s="7" t="inlineStr">
        <is>
          <t>L1</t>
        </is>
      </c>
      <c r="C488" s="5" t="inlineStr">
        <is>
          <t>Fan power consumption is within limits</t>
        </is>
      </c>
      <c r="D488" t="inlineStr">
        <is>
          <t>Yes</t>
        </is>
      </c>
      <c r="F488" t="inlineStr">
        <is>
          <t>Skipped</t>
        </is>
      </c>
      <c r="G488" t="inlineStr">
        <is>
          <t>SONiC.202505I20260915070938_x100.15; afm-agent/controller 202505I20260915070938_x100.15</t>
        </is>
      </c>
      <c r="H488" s="21" t="inlineStr">
        <is>
          <t>[g02-g17 full rack, latest run 14 Oct 2026 17:05 UTC (skipped again), helios-tests g02-g17-20261014-170910 (jump host)] Skipped on all 6 switches: fan power is not reported by the QFX5252 (show platform fan / STATE_DB); needs a platform command (commands.switch.fan_power) from Juniper/AMD. (helios-tests g02-g17-20261013-233525)</t>
        </is>
      </c>
      <c r="I488" s="21" t="inlineStr">
        <is>
          <t>Switch SSH</t>
        </is>
      </c>
      <c r="J488" s="21" t="inlineStr">
        <is>
          <t>Switch</t>
        </is>
      </c>
      <c r="K488" s="21" t="inlineStr">
        <is>
          <t>BKC-26.12 plan</t>
        </is>
      </c>
      <c r="L488" s="21" t="inlineStr">
        <is>
          <t>Non-disruptive</t>
        </is>
      </c>
    </row>
    <row r="489" hidden="1" ht="64" customHeight="1" s="33">
      <c r="A489" s="7" t="inlineStr">
        <is>
          <t>TC-SWH-006</t>
        </is>
      </c>
      <c r="B489" s="7" t="inlineStr">
        <is>
          <t>L1</t>
        </is>
      </c>
      <c r="C489" s="5" t="inlineStr">
        <is>
          <t>Fan data accuracy and consistency</t>
        </is>
      </c>
      <c r="D489" t="inlineStr">
        <is>
          <t>Yes</t>
        </is>
      </c>
      <c r="F489" t="inlineStr">
        <is>
          <t>PASS</t>
        </is>
      </c>
      <c r="G489" t="inlineStr">
        <is>
          <t>SONiC.202505I20260915070938_x100.15; afm-agent/controller 202505I20260915070938_x100.15</t>
        </is>
      </c>
      <c r="H489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489" s="21" t="inlineStr">
        <is>
          <t>Switch SSH</t>
        </is>
      </c>
      <c r="J489" s="21" t="inlineStr">
        <is>
          <t>Switch</t>
        </is>
      </c>
      <c r="K489" s="21" t="inlineStr">
        <is>
          <t>BKC-26.12 plan</t>
        </is>
      </c>
      <c r="L489" s="21" t="inlineStr">
        <is>
          <t>Non-disruptive</t>
        </is>
      </c>
    </row>
    <row r="490" hidden="1" ht="112" customHeight="1" s="33">
      <c r="A490" s="7" t="inlineStr">
        <is>
          <t>TC-SWH-007</t>
        </is>
      </c>
      <c r="B490" s="7" t="inlineStr">
        <is>
          <t>L1</t>
        </is>
      </c>
      <c r="C490" s="5" t="inlineStr">
        <is>
          <t>PSU model and serial number information</t>
        </is>
      </c>
      <c r="D490" t="inlineStr">
        <is>
          <t>Yes</t>
        </is>
      </c>
      <c r="F490" t="inlineStr">
        <is>
          <t>N/A</t>
        </is>
      </c>
      <c r="G490" t="inlineStr">
        <is>
          <t>SONiC.202505I20260915070938_x100.15; afm-agent/controller 202505I20260915070938_x100.15</t>
        </is>
      </c>
      <c r="H490" s="21" t="inlineStr">
        <is>
          <t>[g02-g17 full rack, latest run 14 Oct 2026 17:06 UTC (skipped again), helios-tests g02-g17-20261014-170910 (jump host)] N/A on the g02-g17 QFX5252 platform: no FRU PSU modules: power comes from the busbar through 'PDB HSC' Main/Standby entries without model or serial. The automated check still runs and would report data if a platform exposes it.
Earlier: [g02-g17 full rack, L1, 13 Oct 2026] Skipped on all 6 switches: the only power entries (PDB HSC Main/Standby) have no model or serial - busbar-fed platform, no FRU PSUs. (helios-tests g02-g17-20261013-233525)</t>
        </is>
      </c>
      <c r="I490" s="21" t="inlineStr">
        <is>
          <t>Switch SSH</t>
        </is>
      </c>
      <c r="J490" s="21" t="inlineStr">
        <is>
          <t>Switch</t>
        </is>
      </c>
      <c r="K490" s="21" t="inlineStr">
        <is>
          <t>BKC-26.12 plan</t>
        </is>
      </c>
      <c r="L490" s="21" t="inlineStr">
        <is>
          <t>Non-disruptive</t>
        </is>
      </c>
    </row>
    <row r="491" hidden="1" ht="64" customHeight="1" s="33">
      <c r="A491" s="7" t="inlineStr">
        <is>
          <t>TC-SWH-008</t>
        </is>
      </c>
      <c r="B491" s="7" t="inlineStr">
        <is>
          <t>L1</t>
        </is>
      </c>
      <c r="C491" s="5" t="inlineStr">
        <is>
          <t>Fan monitoring stability over time</t>
        </is>
      </c>
      <c r="D491" t="inlineStr">
        <is>
          <t>Yes</t>
        </is>
      </c>
      <c r="F491" t="inlineStr">
        <is>
          <t>PASS</t>
        </is>
      </c>
      <c r="G491" t="inlineStr">
        <is>
          <t>SONiC.202505I20260915070938_x100.15; afm-agent/controller 202505I20260915070938_x100.15</t>
        </is>
      </c>
      <c r="H491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491" s="21" t="inlineStr">
        <is>
          <t>Switch SSH</t>
        </is>
      </c>
      <c r="J491" s="21" t="inlineStr">
        <is>
          <t>Switch</t>
        </is>
      </c>
      <c r="K491" s="21" t="inlineStr">
        <is>
          <t>BKC-26.12 plan</t>
        </is>
      </c>
      <c r="L491" s="21" t="inlineStr">
        <is>
          <t>Non-disruptive</t>
        </is>
      </c>
    </row>
    <row r="492" hidden="1" ht="32" customHeight="1" s="33">
      <c r="A492" s="7" t="inlineStr">
        <is>
          <t>TC-SWH-009</t>
        </is>
      </c>
      <c r="B492" s="7" t="inlineStr">
        <is>
          <t>L1</t>
        </is>
      </c>
      <c r="C492" s="5" t="inlineStr">
        <is>
          <t>Fan response time to temperature changes</t>
        </is>
      </c>
      <c r="D492" t="inlineStr">
        <is>
          <t>Yes</t>
        </is>
      </c>
      <c r="F492" t="inlineStr">
        <is>
          <t>Skipped</t>
        </is>
      </c>
      <c r="G492" t="inlineStr">
        <is>
          <t>SONiC.202505I20260915070938_x100.15; afm-agent/controller 202505I20260915070938_x100.15</t>
        </is>
      </c>
      <c r="H492" s="21" t="inlineStr">
        <is>
          <t>[g02-g17 full rack, latest run 14 Oct 2026 17:06 UTC (skipped again), helios-tests g02-g17-20261014-170910 (jump host)] Skipped on all 6 switches: manual case: needs a physical thermal stimulus while someone watches the fan response. (helios-tests g02-g17-20261013-233525)</t>
        </is>
      </c>
      <c r="I492" s="21" t="inlineStr">
        <is>
          <t>Switch SSH</t>
        </is>
      </c>
      <c r="J492" s="21" t="inlineStr">
        <is>
          <t>Switch</t>
        </is>
      </c>
      <c r="K492" s="21" t="inlineStr">
        <is>
          <t>BKC-26.12 plan</t>
        </is>
      </c>
      <c r="L492" s="21" t="inlineStr">
        <is>
          <t>Non-disruptive</t>
        </is>
      </c>
    </row>
    <row r="493" hidden="1" ht="96" customHeight="1" s="33">
      <c r="A493" s="7" t="inlineStr">
        <is>
          <t>TC-SWH-010</t>
        </is>
      </c>
      <c r="B493" s="7" t="inlineStr">
        <is>
          <t>L1</t>
        </is>
      </c>
      <c r="C493" s="5" t="inlineStr">
        <is>
          <t>Power load is distributed across PSUs</t>
        </is>
      </c>
      <c r="D493" t="inlineStr">
        <is>
          <t>Yes</t>
        </is>
      </c>
      <c r="F493" t="inlineStr">
        <is>
          <t>N/A</t>
        </is>
      </c>
      <c r="G493" t="inlineStr">
        <is>
          <t>SONiC.202505I20260915070938_x100.15; afm-agent/controller 202505I20260915070938_x100.15</t>
        </is>
      </c>
      <c r="H493" s="21" t="inlineStr">
        <is>
          <t>[g02-g17 full rack, latest run 14 Oct 2026 17:06 UTC (skipped again), helios-tests g02-g17-20261014-170910 (jump host)] N/A on the g02-g17 QFX5252 platform: no load-sharing PSUs: PDB HSC Main (~3.9 kW) and Standby (~0.4 kW) are a main/standby busbar feed. The automated check still runs and would report data if a platform exposes it.
Earlier: [g02-g17 full rack, L1, 13 Oct 2026] Skipped on all 6 switches: PDB HSC Main/Standby do not load-share (main ~3.9 kW, standby ~0.4 kW) - busbar-fed platform. (helios-tests g02-g17-20261013-233525)</t>
        </is>
      </c>
      <c r="I493" s="21" t="inlineStr">
        <is>
          <t>Switch SSH</t>
        </is>
      </c>
      <c r="J493" s="21" t="inlineStr">
        <is>
          <t>Switch</t>
        </is>
      </c>
      <c r="K493" s="21" t="inlineStr">
        <is>
          <t>BKC-26.12 plan</t>
        </is>
      </c>
      <c r="L493" s="21" t="inlineStr">
        <is>
          <t>Non-disruptive</t>
        </is>
      </c>
    </row>
    <row r="494" hidden="1" ht="64" customHeight="1" s="33">
      <c r="A494" s="7" t="inlineStr">
        <is>
          <t>TC-SWH-011</t>
        </is>
      </c>
      <c r="B494" s="7" t="inlineStr">
        <is>
          <t>L1</t>
        </is>
      </c>
      <c r="C494" s="5" t="inlineStr">
        <is>
          <t>PSU temperature correlates with system load</t>
        </is>
      </c>
      <c r="D494" t="inlineStr">
        <is>
          <t>Yes</t>
        </is>
      </c>
      <c r="F494" t="inlineStr">
        <is>
          <t>PASS</t>
        </is>
      </c>
      <c r="G494" t="inlineStr">
        <is>
          <t>SONiC.202505I20260915070938_x100.15; afm-agent/controller 202505I20260915070938_x100.15</t>
        </is>
      </c>
      <c r="H494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494" s="21" t="inlineStr">
        <is>
          <t>Switch SSH</t>
        </is>
      </c>
      <c r="J494" s="21" t="inlineStr">
        <is>
          <t>Switch</t>
        </is>
      </c>
      <c r="K494" s="21" t="inlineStr">
        <is>
          <t>BKC-26.12 plan</t>
        </is>
      </c>
      <c r="L494" s="21" t="inlineStr">
        <is>
          <t>Non-disruptive</t>
        </is>
      </c>
    </row>
    <row r="495" hidden="1" ht="64" customHeight="1" s="33">
      <c r="A495" s="7" t="inlineStr">
        <is>
          <t>TC-SWH-012</t>
        </is>
      </c>
      <c r="B495" s="7" t="inlineStr">
        <is>
          <t>L1</t>
        </is>
      </c>
      <c r="C495" s="5" t="inlineStr">
        <is>
          <t>System behavior under high CPU load</t>
        </is>
      </c>
      <c r="D495" t="inlineStr">
        <is>
          <t>Yes</t>
        </is>
      </c>
      <c r="F495" t="inlineStr">
        <is>
          <t>PASS</t>
        </is>
      </c>
      <c r="G495" t="inlineStr">
        <is>
          <t>SONiC.202505I20260915070938_x100.15; afm-agent/controller 202505I20260915070938_x100.15</t>
        </is>
      </c>
      <c r="H495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495" s="21" t="inlineStr">
        <is>
          <t>Switch SSH</t>
        </is>
      </c>
      <c r="J495" s="21" t="inlineStr">
        <is>
          <t>Switch</t>
        </is>
      </c>
      <c r="K495" s="21" t="inlineStr">
        <is>
          <t>BKC-26.12 plan</t>
        </is>
      </c>
      <c r="L495" s="21" t="inlineStr">
        <is>
          <t>Non-disruptive</t>
        </is>
      </c>
    </row>
    <row r="496" hidden="1" ht="64" customHeight="1" s="33">
      <c r="A496" s="7" t="inlineStr">
        <is>
          <t>TC-SWH-013</t>
        </is>
      </c>
      <c r="B496" s="7" t="inlineStr">
        <is>
          <t>L1</t>
        </is>
      </c>
      <c r="C496" s="5" t="inlineStr">
        <is>
          <t>Platform summary (model, HwSKU, ASIC type)</t>
        </is>
      </c>
      <c r="D496" t="inlineStr">
        <is>
          <t>Yes</t>
        </is>
      </c>
      <c r="F496" t="inlineStr">
        <is>
          <t>PASS</t>
        </is>
      </c>
      <c r="G496" t="inlineStr">
        <is>
          <t>SONiC.202505I20260915070938_x100.15; afm-agent/controller 202505I20260915070938_x100.15</t>
        </is>
      </c>
      <c r="H496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496" s="21" t="inlineStr">
        <is>
          <t>Switch SSH</t>
        </is>
      </c>
      <c r="J496" s="21" t="inlineStr">
        <is>
          <t>Switch</t>
        </is>
      </c>
      <c r="K496" s="21" t="inlineStr">
        <is>
          <t>BKC-26.12 plan</t>
        </is>
      </c>
      <c r="L496" s="21" t="inlineStr">
        <is>
          <t>Non-disruptive</t>
        </is>
      </c>
    </row>
    <row r="497" hidden="1" ht="64" customHeight="1" s="33">
      <c r="A497" s="7" t="inlineStr">
        <is>
          <t>TC-SWH-014</t>
        </is>
      </c>
      <c r="B497" s="7" t="inlineStr">
        <is>
          <t>L1</t>
        </is>
      </c>
      <c r="C497" s="5" t="inlineStr">
        <is>
          <t>Platform EEPROM data (serial, MAC, product name)</t>
        </is>
      </c>
      <c r="D497" t="inlineStr">
        <is>
          <t>Yes</t>
        </is>
      </c>
      <c r="F497" t="inlineStr">
        <is>
          <t>PASS</t>
        </is>
      </c>
      <c r="G497" t="inlineStr">
        <is>
          <t>SONiC.202505I20260915070938_x100.15; afm-agent/controller 202505I20260915070938_x100.15</t>
        </is>
      </c>
      <c r="H497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497" s="21" t="inlineStr">
        <is>
          <t>Switch SSH</t>
        </is>
      </c>
      <c r="J497" s="21" t="inlineStr">
        <is>
          <t>Switch</t>
        </is>
      </c>
      <c r="K497" s="21" t="inlineStr">
        <is>
          <t>BKC-26.12 plan</t>
        </is>
      </c>
      <c r="L497" s="21" t="inlineStr">
        <is>
          <t>Non-disruptive</t>
        </is>
      </c>
    </row>
    <row r="498" hidden="1" ht="64" customHeight="1" s="33">
      <c r="A498" s="7" t="inlineStr">
        <is>
          <t>TC-SWH-015</t>
        </is>
      </c>
      <c r="B498" s="7" t="inlineStr">
        <is>
          <t>L1</t>
        </is>
      </c>
      <c r="C498" s="5" t="inlineStr">
        <is>
          <t>Firmware components via fwutil (BIOS, CPLD versions)</t>
        </is>
      </c>
      <c r="D498" t="inlineStr">
        <is>
          <t>Yes</t>
        </is>
      </c>
      <c r="F498" t="inlineStr">
        <is>
          <t>PASS</t>
        </is>
      </c>
      <c r="G498" t="inlineStr">
        <is>
          <t>SONiC.202505I20260915070938_x100.15; afm-agent/controller 202505I20260915070938_x100.15</t>
        </is>
      </c>
      <c r="H498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498" s="21" t="inlineStr">
        <is>
          <t>Switch SSH</t>
        </is>
      </c>
      <c r="J498" s="21" t="inlineStr">
        <is>
          <t>Switch</t>
        </is>
      </c>
      <c r="K498" s="21" t="inlineStr">
        <is>
          <t>BKC-26.12 plan</t>
        </is>
      </c>
      <c r="L498" s="21" t="inlineStr">
        <is>
          <t>Non-disruptive</t>
        </is>
      </c>
    </row>
    <row r="499" hidden="1" ht="64" customHeight="1" s="33">
      <c r="A499" s="7" t="inlineStr">
        <is>
          <t>TC-SWH-016</t>
        </is>
      </c>
      <c r="B499" s="7" t="inlineStr">
        <is>
          <t>L1</t>
        </is>
      </c>
      <c r="C499" s="5" t="inlineStr">
        <is>
          <t>Multi-ASIC namespaces (asic0, asic1) availability</t>
        </is>
      </c>
      <c r="D499" t="inlineStr">
        <is>
          <t>Yes</t>
        </is>
      </c>
      <c r="F499" t="inlineStr">
        <is>
          <t>PASS</t>
        </is>
      </c>
      <c r="G499" t="inlineStr">
        <is>
          <t>SONiC.202505I20260915070938_x100.15; afm-agent/controller 202505I20260915070938_x100.15</t>
        </is>
      </c>
      <c r="H499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499" s="21" t="inlineStr">
        <is>
          <t>Switch SSH</t>
        </is>
      </c>
      <c r="J499" s="21" t="inlineStr">
        <is>
          <t>Switch</t>
        </is>
      </c>
      <c r="K499" s="21" t="inlineStr">
        <is>
          <t>BKC-26.12 plan</t>
        </is>
      </c>
      <c r="L499" s="21" t="inlineStr">
        <is>
          <t>Non-disruptive</t>
        </is>
      </c>
    </row>
    <row r="500" hidden="1" ht="64" customHeight="1" s="33">
      <c r="A500" s="7" t="inlineStr">
        <is>
          <t>TC-SWH-017</t>
        </is>
      </c>
      <c r="B500" s="7" t="inlineStr">
        <is>
          <t>L1</t>
        </is>
      </c>
      <c r="C500" s="5" t="inlineStr">
        <is>
          <t>All fans detected and present</t>
        </is>
      </c>
      <c r="D500" t="inlineStr">
        <is>
          <t>Yes</t>
        </is>
      </c>
      <c r="F500" t="inlineStr">
        <is>
          <t>PASS</t>
        </is>
      </c>
      <c r="G500" t="inlineStr">
        <is>
          <t>SONiC.202505I20260915070938_x100.15; afm-agent/controller 202505I20260915070938_x100.15</t>
        </is>
      </c>
      <c r="H500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00" s="21" t="inlineStr">
        <is>
          <t>Switch SSH</t>
        </is>
      </c>
      <c r="J500" s="21" t="inlineStr">
        <is>
          <t>Switch</t>
        </is>
      </c>
      <c r="K500" s="21" t="inlineStr">
        <is>
          <t>BKC-26.12 plan</t>
        </is>
      </c>
      <c r="L500" s="21" t="inlineStr">
        <is>
          <t>Non-disruptive</t>
        </is>
      </c>
    </row>
    <row r="501" hidden="1" ht="64" customHeight="1" s="33">
      <c r="A501" s="7" t="inlineStr">
        <is>
          <t>TC-SWH-018</t>
        </is>
      </c>
      <c r="B501" s="7" t="inlineStr">
        <is>
          <t>L1</t>
        </is>
      </c>
      <c r="C501" s="5" t="inlineStr">
        <is>
          <t>All PSUs detected and present</t>
        </is>
      </c>
      <c r="D501" t="inlineStr">
        <is>
          <t>Yes</t>
        </is>
      </c>
      <c r="F501" t="inlineStr">
        <is>
          <t>PASS</t>
        </is>
      </c>
      <c r="G501" t="inlineStr">
        <is>
          <t>SONiC.202505I20260915070938_x100.15; afm-agent/controller 202505I20260915070938_x100.15</t>
        </is>
      </c>
      <c r="H501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01" s="21" t="inlineStr">
        <is>
          <t>Switch SSH</t>
        </is>
      </c>
      <c r="J501" s="21" t="inlineStr">
        <is>
          <t>Switch</t>
        </is>
      </c>
      <c r="K501" s="21" t="inlineStr">
        <is>
          <t>BKC-26.12 plan</t>
        </is>
      </c>
      <c r="L501" s="21" t="inlineStr">
        <is>
          <t>Non-disruptive</t>
        </is>
      </c>
    </row>
    <row r="502" hidden="1" ht="64" customHeight="1" s="33">
      <c r="A502" s="7" t="inlineStr">
        <is>
          <t>TC-SWH-019</t>
        </is>
      </c>
      <c r="B502" s="7" t="inlineStr">
        <is>
          <t>L1</t>
        </is>
      </c>
      <c r="C502" s="5" t="inlineStr">
        <is>
          <t>PSU operational status (OK/healthy)</t>
        </is>
      </c>
      <c r="D502" t="inlineStr">
        <is>
          <t>Yes</t>
        </is>
      </c>
      <c r="F502" t="inlineStr">
        <is>
          <t>PASS</t>
        </is>
      </c>
      <c r="G502" t="inlineStr">
        <is>
          <t>SONiC.202505I20260915070938_x100.15; afm-agent/controller 202505I20260915070938_x100.15</t>
        </is>
      </c>
      <c r="H502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02" s="21" t="inlineStr">
        <is>
          <t>Switch SSH</t>
        </is>
      </c>
      <c r="J502" s="21" t="inlineStr">
        <is>
          <t>Switch</t>
        </is>
      </c>
      <c r="K502" s="21" t="inlineStr">
        <is>
          <t>BKC-26.12 plan</t>
        </is>
      </c>
      <c r="L502" s="21" t="inlineStr">
        <is>
          <t>Non-disruptive</t>
        </is>
      </c>
    </row>
    <row r="503" hidden="1" ht="80" customHeight="1" s="33">
      <c r="A503" s="7" t="inlineStr">
        <is>
          <t>TC-SWH-020</t>
        </is>
      </c>
      <c r="B503" s="7" t="inlineStr">
        <is>
          <t>L1</t>
        </is>
      </c>
      <c r="C503" s="5" t="inlineStr">
        <is>
          <t>PSU model and manufacturer information</t>
        </is>
      </c>
      <c r="D503" t="inlineStr">
        <is>
          <t>Yes</t>
        </is>
      </c>
      <c r="F503" t="inlineStr">
        <is>
          <t>N/A</t>
        </is>
      </c>
      <c r="G503" t="inlineStr">
        <is>
          <t>SONiC.202505I20260915070938_x100.15; afm-agent/controller 202505I20260915070938_x100.15</t>
        </is>
      </c>
      <c r="H503" s="21" t="inlineStr">
        <is>
          <t>[g02-g17 full rack, latest run 14 Oct 2026 17:06 UTC (skipped again), helios-tests g02-g17-20261014-170910 (jump host)] N/A on the g02-g17 QFX5252 platform: no PSU modules, so no PSU manufacturer data (busbar-fed PDB HSC entries). The automated check still runs and would report data if a platform exposes it.
Earlier: [g02-g17 full rack, L1, 13 Oct 2026] Skipped on all 6 switches: PSU_INFO has no manufacturer field for the PDB HSC entries - busbar-fed platform. (helios-tests g02-g17-20261013-233525)</t>
        </is>
      </c>
      <c r="I503" s="21" t="inlineStr">
        <is>
          <t>Switch SSH</t>
        </is>
      </c>
      <c r="J503" s="21" t="inlineStr">
        <is>
          <t>Switch</t>
        </is>
      </c>
      <c r="K503" s="21" t="inlineStr">
        <is>
          <t>BKC-26.12 plan</t>
        </is>
      </c>
      <c r="L503" s="21" t="inlineStr">
        <is>
          <t>Non-disruptive</t>
        </is>
      </c>
    </row>
    <row r="504" hidden="1" ht="64" customHeight="1" s="33">
      <c r="A504" s="7" t="inlineStr">
        <is>
          <t>TC-SWH-021</t>
        </is>
      </c>
      <c r="B504" s="7" t="inlineStr">
        <is>
          <t>L1</t>
        </is>
      </c>
      <c r="C504" s="5" t="inlineStr">
        <is>
          <t>PSU output voltage within thresholds</t>
        </is>
      </c>
      <c r="D504" t="inlineStr">
        <is>
          <t>Yes</t>
        </is>
      </c>
      <c r="F504" t="inlineStr">
        <is>
          <t>PASS</t>
        </is>
      </c>
      <c r="G504" t="inlineStr">
        <is>
          <t>SONiC.202505I20260915070938_x100.15; afm-agent/controller 202505I20260915070938_x100.15; ROCm 10.2.0a20260922</t>
        </is>
      </c>
      <c r="H504" s="21" t="inlineStr">
        <is>
          <t>[g02-g17 full rack, rack health check: ran 2026-10-15 15:10 UTC (run g02-g17-20261015-151528), health result g02-g17-20261016-135436-merged] PASS.
Earlier: 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04" s="21" t="inlineStr">
        <is>
          <t>Switch SSH</t>
        </is>
      </c>
      <c r="J504" s="21" t="inlineStr">
        <is>
          <t>Switch</t>
        </is>
      </c>
      <c r="K504" s="21" t="inlineStr">
        <is>
          <t>BKC-26.12 plan</t>
        </is>
      </c>
      <c r="L504" s="21" t="inlineStr">
        <is>
          <t>Non-disruptive</t>
        </is>
      </c>
      <c r="M504" s="21" t="inlineStr">
        <is>
          <t>Warning</t>
        </is>
      </c>
    </row>
    <row r="505" hidden="1" ht="64" customHeight="1" s="33">
      <c r="A505" s="7" t="inlineStr">
        <is>
          <t>TC-SWH-022</t>
        </is>
      </c>
      <c r="B505" s="7" t="inlineStr">
        <is>
          <t>L1</t>
        </is>
      </c>
      <c r="C505" s="5" t="inlineStr">
        <is>
          <t>PSU output current within limits</t>
        </is>
      </c>
      <c r="D505" t="inlineStr">
        <is>
          <t>Yes</t>
        </is>
      </c>
      <c r="F505" t="inlineStr">
        <is>
          <t>PASS</t>
        </is>
      </c>
      <c r="G505" t="inlineStr">
        <is>
          <t>SONiC.202505I20260915070938_x100.15; afm-agent/controller 202505I20260915070938_x100.15; ROCm 10.2.0a20260922</t>
        </is>
      </c>
      <c r="H505" s="21" t="inlineStr">
        <is>
          <t>[g02-g17 full rack, rack health check: ran 2026-10-15 15:10 UTC (run g02-g17-20261015-151528), health result g02-g17-20261016-135436-merged] PASS.
Earlier: 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05" s="21" t="inlineStr">
        <is>
          <t>Switch SSH</t>
        </is>
      </c>
      <c r="J505" s="21" t="inlineStr">
        <is>
          <t>Switch</t>
        </is>
      </c>
      <c r="K505" s="21" t="inlineStr">
        <is>
          <t>BKC-26.12 plan</t>
        </is>
      </c>
      <c r="L505" s="21" t="inlineStr">
        <is>
          <t>Non-disruptive</t>
        </is>
      </c>
      <c r="M505" s="21" t="inlineStr">
        <is>
          <t>Warning</t>
        </is>
      </c>
    </row>
    <row r="506" hidden="1" ht="64" customHeight="1" s="33">
      <c r="A506" s="7" t="inlineStr">
        <is>
          <t>TC-SWH-023</t>
        </is>
      </c>
      <c r="B506" s="7" t="inlineStr">
        <is>
          <t>L1</t>
        </is>
      </c>
      <c r="C506" s="5" t="inlineStr">
        <is>
          <t>PSU power draw (watts) within limits</t>
        </is>
      </c>
      <c r="D506" t="inlineStr">
        <is>
          <t>Yes</t>
        </is>
      </c>
      <c r="F506" t="inlineStr">
        <is>
          <t>PASS</t>
        </is>
      </c>
      <c r="G506" t="inlineStr">
        <is>
          <t>SONiC.202505I20260915070938_x100.15; afm-agent/controller 202505I20260915070938_x100.15; ROCm 10.2.0a20260922</t>
        </is>
      </c>
      <c r="H506" s="21" t="inlineStr">
        <is>
          <t>[g02-g17 full rack, rack health check: ran 2026-10-15 15:10 UTC (run g02-g17-20261015-151528), health result g02-g17-20261016-135436-merged] PASS.
Earlier: 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06" s="21" t="inlineStr">
        <is>
          <t>Switch SSH</t>
        </is>
      </c>
      <c r="J506" s="21" t="inlineStr">
        <is>
          <t>Switch</t>
        </is>
      </c>
      <c r="K506" s="21" t="inlineStr">
        <is>
          <t>BKC-26.12 plan</t>
        </is>
      </c>
      <c r="L506" s="21" t="inlineStr">
        <is>
          <t>Non-disruptive</t>
        </is>
      </c>
      <c r="M506" s="21" t="inlineStr">
        <is>
          <t>Warning</t>
        </is>
      </c>
    </row>
    <row r="507" hidden="1" ht="64" customHeight="1" s="33">
      <c r="A507" s="7" t="inlineStr">
        <is>
          <t>TC-SWH-024</t>
        </is>
      </c>
      <c r="B507" s="7" t="inlineStr">
        <is>
          <t>L1</t>
        </is>
      </c>
      <c r="C507" s="5" t="inlineStr">
        <is>
          <t>PSU total power output and capacity</t>
        </is>
      </c>
      <c r="D507" t="inlineStr">
        <is>
          <t>Yes</t>
        </is>
      </c>
      <c r="F507" t="inlineStr">
        <is>
          <t>PASS</t>
        </is>
      </c>
      <c r="G507" t="inlineStr">
        <is>
          <t>SONiC.202505I20260915070938_x100.15; afm-agent/controller 202505I20260915070938_x100.15; ROCm 10.2.0a20260922</t>
        </is>
      </c>
      <c r="H507" s="21" t="inlineStr">
        <is>
          <t>[g02-g17 full rack, rack health check: ran 2026-10-15 15:10 UTC (run g02-g17-20261015-151528), health result g02-g17-20261016-135436-merged] PASS.
Earlier: 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07" s="21" t="inlineStr">
        <is>
          <t>Switch SSH</t>
        </is>
      </c>
      <c r="J507" s="21" t="inlineStr">
        <is>
          <t>Switch</t>
        </is>
      </c>
      <c r="K507" s="21" t="inlineStr">
        <is>
          <t>BKC-26.12 plan</t>
        </is>
      </c>
      <c r="L507" s="21" t="inlineStr">
        <is>
          <t>Non-disruptive</t>
        </is>
      </c>
      <c r="M507" s="21" t="inlineStr">
        <is>
          <t>Warning</t>
        </is>
      </c>
    </row>
    <row r="508" hidden="1" ht="64" customHeight="1" s="33">
      <c r="A508" s="7" t="inlineStr">
        <is>
          <t>TC-SWH-025</t>
        </is>
      </c>
      <c r="B508" s="7" t="inlineStr">
        <is>
          <t>L1</t>
        </is>
      </c>
      <c r="C508" s="5" t="inlineStr">
        <is>
          <t>PSU temperature within thresholds</t>
        </is>
      </c>
      <c r="D508" t="inlineStr">
        <is>
          <t>Yes</t>
        </is>
      </c>
      <c r="F508" t="inlineStr">
        <is>
          <t>PASS</t>
        </is>
      </c>
      <c r="G508" t="inlineStr">
        <is>
          <t>SONiC.202505I20260915070938_x100.15; afm-agent/controller 202505I20260915070938_x100.15; ROCm 10.2.0a20260922</t>
        </is>
      </c>
      <c r="H508" s="21" t="inlineStr">
        <is>
          <t>[g02-g17 full rack, rack health check: ran 2026-10-15 15:10 UTC (run g02-g17-20261015-151528), health result g02-g17-20261016-135436-merged] PASS.
Earlier: 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08" s="21" t="inlineStr">
        <is>
          <t>Switch SSH</t>
        </is>
      </c>
      <c r="J508" s="21" t="inlineStr">
        <is>
          <t>Switch</t>
        </is>
      </c>
      <c r="K508" s="21" t="inlineStr">
        <is>
          <t>BKC-26.12 plan</t>
        </is>
      </c>
      <c r="L508" s="21" t="inlineStr">
        <is>
          <t>Non-disruptive</t>
        </is>
      </c>
      <c r="M508" s="21" t="inlineStr">
        <is>
          <t>Warning</t>
        </is>
      </c>
    </row>
    <row r="509" hidden="1" ht="80" customHeight="1" s="33">
      <c r="A509" s="7" t="inlineStr">
        <is>
          <t>TC-SWH-026</t>
        </is>
      </c>
      <c r="B509" s="7" t="inlineStr">
        <is>
          <t>L1</t>
        </is>
      </c>
      <c r="C509" s="5" t="inlineStr">
        <is>
          <t>PSU internal fan operational status</t>
        </is>
      </c>
      <c r="D509" t="inlineStr">
        <is>
          <t>Yes</t>
        </is>
      </c>
      <c r="F509" t="inlineStr">
        <is>
          <t>N/A</t>
        </is>
      </c>
      <c r="G509" t="inlineStr">
        <is>
          <t>SONiC.202505I20260915070938_x100.15; afm-agent/controller 202505I20260915070938_x100.15</t>
        </is>
      </c>
      <c r="H509" s="21" t="inlineStr">
        <is>
          <t>[g02-g17 full rack, latest run 14 Oct 2026 17:06 UTC (skipped again), helios-tests g02-g17-20261014-170910 (jump host)] N/A on the g02-g17 QFX5252 platform: no PSU modules, so no PSU internal fans (busbar-fed PDB HSC entries). The automated check still runs and would report data if a platform exposes it.
Earlier: [g02-g17 full rack, L1, 13 Oct 2026] Skipped on all 6 switches: the platform reports no PSU fans (busbar-fed PDB HSC, no PSU modules) - likely N/A, confirm with Juniper/AMD. (helios-tests g02-g17-20261013-233525)</t>
        </is>
      </c>
      <c r="I509" s="21" t="inlineStr">
        <is>
          <t>Switch SSH</t>
        </is>
      </c>
      <c r="J509" s="21" t="inlineStr">
        <is>
          <t>Switch</t>
        </is>
      </c>
      <c r="K509" s="21" t="inlineStr">
        <is>
          <t>BKC-26.12 plan</t>
        </is>
      </c>
      <c r="L509" s="21" t="inlineStr">
        <is>
          <t>Non-disruptive</t>
        </is>
      </c>
    </row>
    <row r="510" hidden="1" ht="64" customHeight="1" s="33">
      <c r="A510" s="7" t="inlineStr">
        <is>
          <t>TC-SWH-027</t>
        </is>
      </c>
      <c r="B510" s="7" t="inlineStr">
        <is>
          <t>L1</t>
        </is>
      </c>
      <c r="C510" s="5" t="inlineStr">
        <is>
          <t>PSU redundancy (N+1 minimum)</t>
        </is>
      </c>
      <c r="D510" t="inlineStr">
        <is>
          <t>Yes</t>
        </is>
      </c>
      <c r="F510" t="inlineStr">
        <is>
          <t>PASS</t>
        </is>
      </c>
      <c r="G510" t="inlineStr">
        <is>
          <t>SONiC.202505I20260915070938_x100.15; afm-agent/controller 202505I20260915070938_x100.15</t>
        </is>
      </c>
      <c r="H510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10" s="21" t="inlineStr">
        <is>
          <t>Switch SSH</t>
        </is>
      </c>
      <c r="J510" s="21" t="inlineStr">
        <is>
          <t>Switch</t>
        </is>
      </c>
      <c r="K510" s="21" t="inlineStr">
        <is>
          <t>BKC-26.12 plan</t>
        </is>
      </c>
      <c r="L510" s="21" t="inlineStr">
        <is>
          <t>Non-disruptive</t>
        </is>
      </c>
    </row>
    <row r="511" hidden="1" ht="64" customHeight="1" s="33">
      <c r="A511" s="7" t="inlineStr">
        <is>
          <t>TC-SWH-028</t>
        </is>
      </c>
      <c r="B511" s="7" t="inlineStr">
        <is>
          <t>L1</t>
        </is>
      </c>
      <c r="C511" s="5" t="inlineStr">
        <is>
          <t>PSU LED status matches operational state</t>
        </is>
      </c>
      <c r="D511" t="inlineStr">
        <is>
          <t>Yes</t>
        </is>
      </c>
      <c r="F511" t="inlineStr">
        <is>
          <t>PASS</t>
        </is>
      </c>
      <c r="G511" t="inlineStr">
        <is>
          <t>SONiC.202505I20260915070938_x100.15; afm-agent/controller 202505I20260915070938_x100.15</t>
        </is>
      </c>
      <c r="H511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11" s="21" t="inlineStr">
        <is>
          <t>Switch SSH</t>
        </is>
      </c>
      <c r="J511" s="21" t="inlineStr">
        <is>
          <t>Switch</t>
        </is>
      </c>
      <c r="K511" s="21" t="inlineStr">
        <is>
          <t>BKC-26.12 plan</t>
        </is>
      </c>
      <c r="L511" s="21" t="inlineStr">
        <is>
          <t>Non-disruptive</t>
        </is>
      </c>
    </row>
    <row r="512" hidden="1" ht="80" customHeight="1" s="33">
      <c r="A512" s="7" t="inlineStr">
        <is>
          <t>TC-SWH-029</t>
        </is>
      </c>
      <c r="B512" s="7" t="inlineStr">
        <is>
          <t>L1</t>
        </is>
      </c>
      <c r="C512" s="5" t="inlineStr">
        <is>
          <t>PSU input type (AC/DC) detected</t>
        </is>
      </c>
      <c r="D512" t="inlineStr">
        <is>
          <t>Yes</t>
        </is>
      </c>
      <c r="F512" t="inlineStr">
        <is>
          <t>N/A</t>
        </is>
      </c>
      <c r="G512" t="inlineStr">
        <is>
          <t>SONiC.202505I20260915070938_x100.15; afm-agent/controller 202505I20260915070938_x100.15</t>
        </is>
      </c>
      <c r="H512" s="21" t="inlineStr">
        <is>
          <t>[g02-g17 full rack, latest run 14 Oct 2026 17:06 UTC (skipped again), helios-tests g02-g17-20261014-170910 (jump host)] N/A on the g02-g17 QFX5252 platform: DC busbar feed by design; PSU_INFO has no input type. The automated check still runs and would report data if a platform exposes it.
Earlier: [g02-g17 full rack, L1, 13 Oct 2026] Skipped on all 6 switches: PSU_INFO has no input type (DC busbar feed by design) - likely N/A, confirm with Juniper/AMD. (helios-tests g02-g17-20261013-233525)</t>
        </is>
      </c>
      <c r="I512" s="21" t="inlineStr">
        <is>
          <t>Switch SSH</t>
        </is>
      </c>
      <c r="J512" s="21" t="inlineStr">
        <is>
          <t>Switch</t>
        </is>
      </c>
      <c r="K512" s="21" t="inlineStr">
        <is>
          <t>BKC-26.12 plan</t>
        </is>
      </c>
      <c r="L512" s="21" t="inlineStr">
        <is>
          <t>Non-disruptive</t>
        </is>
      </c>
    </row>
    <row r="513" hidden="1" ht="192" customHeight="1" s="33">
      <c r="A513" s="7" t="inlineStr">
        <is>
          <t>TC-SWH-030</t>
        </is>
      </c>
      <c r="B513" s="7" t="inlineStr">
        <is>
          <t>L1</t>
        </is>
      </c>
      <c r="C513" s="5" t="inlineStr">
        <is>
          <t>All interfaces admin/oper state correct</t>
        </is>
      </c>
      <c r="D513" t="inlineStr">
        <is>
          <t>Yes</t>
        </is>
      </c>
      <c r="F513" t="inlineStr">
        <is>
          <t>FAIL</t>
        </is>
      </c>
      <c r="G513" t="inlineStr">
        <is>
          <t>SONiC.202505I20260915070938_x100.15; afm-agent/controller 202505I20260915070938_x100.15; ROCm 10.2.0a20260922</t>
        </is>
      </c>
      <c r="H513" s="21" t="inlineStr">
        <is>
          <t>[g02-g17 link scan, 18 Oct 2026 16:17 and 16:26 UTC, helios-debug tools/link_check.py scan with the switch ASIC's Broadcom view per lane (read-only); results/link-check/g02-g17/scan-20261018-161735, -162653] Switch ports expected up but oper down: st6 Ethernet261 / 257, st4 Ethernet70 / 66, st5 Ethernet494 - 5 GPU links down outside the quarantined CT05, all on GPU position 0002:01:00.1: CT13 port 0 / st6 Ethernet261 (no signal on either lane at the switch while it transmits: neither direction gets through, cable path); CT14 port 2 / st6 Ethernet257, CT17 port 24 / st4 Ethernet70, CT18 port 28 / st4 Ethernet66 (lane 0 dark, lane 1 good, RX_SNR 2394-2429 vs 2462-2515 on working ports: the same lane on all three); CT16 port 5 / st5 Ethernet494 (never up; a clean signal on both lanes that the switch receiver never locks: lane order / polarity / speed-FEC settings or the GPU port's PHY). On-site check of that GPU position needed. Flapping at 16:17-16:26: st3 Ethernet356, st1 Ethernet134 / 132 (CT17). Status unchanged until TC-SWH-030 is rerun.
Earlier: [g02-g17 full rack, rack health check: ran 2026-10-16 05:37 UTC (run g02-g17-20261016-053848), health result g02-g17-20261016-135436-merged] FAIL: st5/asic1: Ethernet494 (To ComputeTray Slot15/GPU2[62]/Port5) expected up, admin up oper down; CT05 (10.255.4.51) unreachable.
Earlier: [g02-g17 full rack, non-disruptive switch + AFM API, 14 Oct 2026] st1/asic0: Ethernet4 expected up, admin up oper down; st1/asic0: Ethernet5 expected up, admin up oper down; st1/asic0: Ethernet6 expected up, admin up oper down (helios-tests fullrack-switch-nd-filtered, g02-g17-20261014-092828, g02-g17-20261014-170350, g02-g17-20261014-170910)
Earlier: [14 Oct 2026 analysis] Explained 14 Oct by TC-SWH-037: every routed/down port is cabled to Slot4 (CT05, accelerators 16-19) or Slot1 (CT02, accelerators 4-7) - the two compute trays that are down; their switch ports lost the trunk/VLAN config. Expected to clear when CT02/CT05 are back; not a switch template error.
Earlier: [g02-g17 full rack, L1, 13 Oct 2026] st1/asic0: Ethernet9 expected up, admin up oper down; st1/asic0: Ethernet10 expected up, admin up oper down; st1/asic0: Ethernet11 expected up, admin up oper down (helios-tests fullrack-L1-switch)</t>
        </is>
      </c>
      <c r="I513" s="21" t="inlineStr">
        <is>
          <t>Switch SSH</t>
        </is>
      </c>
      <c r="J513" s="21" t="inlineStr">
        <is>
          <t>Switch</t>
        </is>
      </c>
      <c r="K513" s="21" t="inlineStr">
        <is>
          <t>BKC-26.12 plan</t>
        </is>
      </c>
      <c r="L513" s="21" t="inlineStr">
        <is>
          <t>Non-disruptive</t>
        </is>
      </c>
      <c r="M513" s="21" t="inlineStr">
        <is>
          <t>Blocker</t>
        </is>
      </c>
    </row>
    <row r="514" hidden="1" ht="96" customHeight="1" s="33">
      <c r="A514" s="7" t="inlineStr">
        <is>
          <t>TC-SWH-031</t>
        </is>
      </c>
      <c r="B514" s="7" t="inlineStr">
        <is>
          <t>L1</t>
        </is>
      </c>
      <c r="C514" s="5" t="inlineStr">
        <is>
          <t>All active (LLDP-connected) interfaces are UP</t>
        </is>
      </c>
      <c r="D514" t="inlineStr">
        <is>
          <t>Yes</t>
        </is>
      </c>
      <c r="F514" t="inlineStr">
        <is>
          <t>FAIL</t>
        </is>
      </c>
      <c r="G514" t="inlineStr">
        <is>
          <t>SONiC.202505I20260915070938_x100.15; afm-agent/controller 202505I20260915070938_x100.15</t>
        </is>
      </c>
      <c r="H514" s="21" t="inlineStr">
        <is>
          <t>[g02-g17 full rack, non-disruptive switch + AFM API, 14 Oct 2026] st1: no LLDP neighbours on any fabric port (helios-tests fullrack-switch-nd-filtered, g02-g17-20261014-092828, g02-g17-20261014-170350, g02-g17-20261014-170910)
Earlier: [g02-g17 full rack, L1, 13 Oct 2026] st1: no LLDP neighbours on any fabric port (helios-tests fullrack-L1-switch)</t>
        </is>
      </c>
      <c r="I514" s="21" t="inlineStr">
        <is>
          <t>Switch SSH</t>
        </is>
      </c>
      <c r="J514" s="21" t="inlineStr">
        <is>
          <t>Switch</t>
        </is>
      </c>
      <c r="K514" s="21" t="inlineStr">
        <is>
          <t>BKC-26.12 plan</t>
        </is>
      </c>
      <c r="L514" s="21" t="inlineStr">
        <is>
          <t>Non-disruptive</t>
        </is>
      </c>
    </row>
    <row r="515" hidden="1" ht="64" customHeight="1" s="33">
      <c r="A515" s="7" t="inlineStr">
        <is>
          <t>TC-SWH-032</t>
        </is>
      </c>
      <c r="B515" s="7" t="inlineStr">
        <is>
          <t>L1</t>
        </is>
      </c>
      <c r="C515" s="5" t="inlineStr">
        <is>
          <t>All fabric interfaces running at 400G</t>
        </is>
      </c>
      <c r="D515" t="inlineStr">
        <is>
          <t>Yes</t>
        </is>
      </c>
      <c r="F515" t="inlineStr">
        <is>
          <t>PASS</t>
        </is>
      </c>
      <c r="G515" t="inlineStr">
        <is>
          <t>SONiC.202505I20260915070938_x100.15; afm-agent/controller 202505I20260915070938_x100.15</t>
        </is>
      </c>
      <c r="H515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15" s="21" t="inlineStr">
        <is>
          <t>Switch SSH</t>
        </is>
      </c>
      <c r="J515" s="21" t="inlineStr">
        <is>
          <t>Switch</t>
        </is>
      </c>
      <c r="K515" s="21" t="inlineStr">
        <is>
          <t>BKC-26.12 plan</t>
        </is>
      </c>
      <c r="L515" s="21" t="inlineStr">
        <is>
          <t>Non-disruptive</t>
        </is>
      </c>
    </row>
    <row r="516" hidden="1" ht="64" customHeight="1" s="33">
      <c r="A516" s="7" t="inlineStr">
        <is>
          <t>TC-SWH-033</t>
        </is>
      </c>
      <c r="B516" s="7" t="inlineStr">
        <is>
          <t>L1</t>
        </is>
      </c>
      <c r="C516" s="5" t="inlineStr">
        <is>
          <t>All interface MTUs set to expected value</t>
        </is>
      </c>
      <c r="D516" t="inlineStr">
        <is>
          <t>Yes</t>
        </is>
      </c>
      <c r="F516" t="inlineStr">
        <is>
          <t>PASS</t>
        </is>
      </c>
      <c r="G516" t="inlineStr">
        <is>
          <t>SONiC.202505I20260915070938_x100.15; afm-agent/controller 202505I20260915070938_x100.15</t>
        </is>
      </c>
      <c r="H516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16" s="21" t="inlineStr">
        <is>
          <t>Switch SSH</t>
        </is>
      </c>
      <c r="J516" s="21" t="inlineStr">
        <is>
          <t>Switch</t>
        </is>
      </c>
      <c r="K516" s="21" t="inlineStr">
        <is>
          <t>BKC-26.12 plan</t>
        </is>
      </c>
      <c r="L516" s="21" t="inlineStr">
        <is>
          <t>Non-disruptive</t>
        </is>
      </c>
    </row>
    <row r="517" hidden="1" ht="64" customHeight="1" s="33">
      <c r="A517" s="7" t="inlineStr">
        <is>
          <t>TC-SWH-034</t>
        </is>
      </c>
      <c r="B517" s="7" t="inlineStr">
        <is>
          <t>L1</t>
        </is>
      </c>
      <c r="C517" s="5" t="inlineStr">
        <is>
          <t>No RX/TX errors on fabric interfaces</t>
        </is>
      </c>
      <c r="D517" t="inlineStr">
        <is>
          <t>Yes</t>
        </is>
      </c>
      <c r="F517" t="inlineStr">
        <is>
          <t>PASS</t>
        </is>
      </c>
      <c r="G517" t="inlineStr">
        <is>
          <t>SONiC.202505I20260915070938_x100.15; afm-agent/controller 202505I20260915070938_x100.15; ROCm 10.2.0a20260922</t>
        </is>
      </c>
      <c r="H517" s="21" t="inlineStr">
        <is>
          <t>[g02-g17 full rack, rack health check: ran 2026-10-15 15:11 UTC (run g02-g17-20261015-151528), health result g02-g17-20261016-135436-merged] PASS.
Earlier: 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17" s="21" t="inlineStr">
        <is>
          <t>Switch SSH</t>
        </is>
      </c>
      <c r="J517" s="21" t="inlineStr">
        <is>
          <t>Switch</t>
        </is>
      </c>
      <c r="K517" s="21" t="inlineStr">
        <is>
          <t>BKC-26.12 plan</t>
        </is>
      </c>
      <c r="L517" s="21" t="inlineStr">
        <is>
          <t>Non-disruptive</t>
        </is>
      </c>
      <c r="M517" s="21" t="inlineStr">
        <is>
          <t>Warning</t>
        </is>
      </c>
    </row>
    <row r="518" hidden="1" ht="64" customHeight="1" s="33">
      <c r="A518" s="7" t="inlineStr">
        <is>
          <t>TC-SWH-035</t>
        </is>
      </c>
      <c r="B518" s="7" t="inlineStr">
        <is>
          <t>L1</t>
        </is>
      </c>
      <c r="C518" s="5" t="inlineStr">
        <is>
          <t>VLAN table configured on both ASICs</t>
        </is>
      </c>
      <c r="D518" t="inlineStr">
        <is>
          <t>Yes</t>
        </is>
      </c>
      <c r="F518" t="inlineStr">
        <is>
          <t>PASS</t>
        </is>
      </c>
      <c r="G518" t="inlineStr">
        <is>
          <t>SONiC.202505I20260915070938_x100.15; afm-agent/controller 202505I20260915070938_x100.15</t>
        </is>
      </c>
      <c r="H518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L1, 13 Oct 2026] 6 item(s) passed (helios-tests fullrack-L1-switch)</t>
        </is>
      </c>
      <c r="I518" s="21" t="inlineStr">
        <is>
          <t>Switch SSH</t>
        </is>
      </c>
      <c r="J518" s="21" t="inlineStr">
        <is>
          <t>Switch</t>
        </is>
      </c>
      <c r="K518" s="21" t="inlineStr">
        <is>
          <t>BKC-26.12 plan</t>
        </is>
      </c>
      <c r="L518" s="21" t="inlineStr">
        <is>
          <t>Non-disruptive</t>
        </is>
      </c>
    </row>
    <row r="519" hidden="1" ht="144" customHeight="1" s="33">
      <c r="A519" s="7" t="inlineStr">
        <is>
          <t>TC-SWH-036</t>
        </is>
      </c>
      <c r="B519" s="7" t="inlineStr">
        <is>
          <t>L1</t>
        </is>
      </c>
      <c r="C519" s="5" t="inlineStr">
        <is>
          <t>VLAN membership populated on both ASICs</t>
        </is>
      </c>
      <c r="D519" t="inlineStr">
        <is>
          <t>Yes</t>
        </is>
      </c>
      <c r="F519" t="inlineStr">
        <is>
          <t>FAIL</t>
        </is>
      </c>
      <c r="G519" t="inlineStr">
        <is>
          <t>SONiC.202505I20260915070938_x100.15; afm-agent/controller 202505I20260915070938_x100.15</t>
        </is>
      </c>
      <c r="H519" s="21" t="inlineStr">
        <is>
          <t>[g02-g17 full rack, non-disruptive switch + AFM API, 14 Oct 2026] st1/asic0: Vlan2 has no members; st1/asic1: Vlan2 has no members (helios-tests fullrack-switch-nd-filtered, g02-g17-20261014-092828, g02-g17-20261014-170350, g02-g17-20261014-170910)
Earlier: [14 Oct 2026 analysis] Vlan2 with no members may relate to the same down trays (CT02/CT05); to be rechecked when they are back.
Earlier: [g02-g17 full rack, L1, 13 Oct 2026] st1/asic0: Vlan2 has no members; st1/asic1: Vlan2 has no members (helios-tests fullrack-L1-switch)</t>
        </is>
      </c>
      <c r="I519" s="21" t="inlineStr">
        <is>
          <t>Switch SSH</t>
        </is>
      </c>
      <c r="J519" s="21" t="inlineStr">
        <is>
          <t>Switch</t>
        </is>
      </c>
      <c r="K519" s="21" t="inlineStr">
        <is>
          <t>BKC-26.12 plan</t>
        </is>
      </c>
      <c r="L519" s="21" t="inlineStr">
        <is>
          <t>Non-disruptive</t>
        </is>
      </c>
    </row>
    <row r="520" hidden="1" ht="16" customHeight="1" s="33">
      <c r="A520" s="5" t="inlineStr">
        <is>
          <t>TC-RAS-reset-001</t>
        </is>
      </c>
      <c r="B520" s="5" t="inlineStr">
        <is>
          <t>L2</t>
        </is>
      </c>
      <c r="C520" s="5" t="inlineStr">
        <is>
          <t>Indomain transferbench/rccl  do datapath reset before running traffic via afmctl reset device --datapath with all ports up in all stations</t>
        </is>
      </c>
      <c r="D520" t="inlineStr">
        <is>
          <t>Yes</t>
        </is>
      </c>
      <c r="I520" s="21" t="inlineStr">
        <is>
          <t>Compute SSH + datapath traffic</t>
        </is>
      </c>
      <c r="J520" s="21" t="inlineStr">
        <is>
          <t>Compute</t>
        </is>
      </c>
      <c r="K520" s="21" t="inlineStr">
        <is>
          <t>BKC-26.12 plan</t>
        </is>
      </c>
      <c r="L520" t="inlineStr">
        <is>
          <t>Disruptive</t>
        </is>
      </c>
    </row>
    <row r="521" hidden="1" ht="16" customHeight="1" s="33">
      <c r="A521" s="5" t="inlineStr">
        <is>
          <t>TC-RAS-reset-002</t>
        </is>
      </c>
      <c r="B521" s="5" t="inlineStr">
        <is>
          <t>L2</t>
        </is>
      </c>
      <c r="C521" s="5" t="inlineStr">
        <is>
          <t>Indomain transferbench/rccl  do datapath reset before running traffic via afmctl reset device --datapath with partial stations</t>
        </is>
      </c>
      <c r="D521" t="inlineStr">
        <is>
          <t>Yes</t>
        </is>
      </c>
      <c r="I521" s="21" t="inlineStr">
        <is>
          <t>Compute SSH + datapath traffic</t>
        </is>
      </c>
      <c r="J521" s="21" t="inlineStr">
        <is>
          <t>Compute</t>
        </is>
      </c>
      <c r="K521" s="21" t="inlineStr">
        <is>
          <t>BKC-26.12 plan</t>
        </is>
      </c>
      <c r="L521" t="inlineStr">
        <is>
          <t>Disruptive</t>
        </is>
      </c>
    </row>
    <row r="522" hidden="1" ht="16" customHeight="1" s="33">
      <c r="A522" s="5" t="inlineStr">
        <is>
          <t>TC-RAS-reset-003</t>
        </is>
      </c>
      <c r="B522" s="5" t="inlineStr">
        <is>
          <t>L2</t>
        </is>
      </c>
      <c r="C522" s="5" t="inlineStr">
        <is>
          <t>crossdomain transferbench/rccl do datapath reset before running traffic via afmctl reset device --datapath with all ports up in all stations</t>
        </is>
      </c>
      <c r="D522" t="inlineStr">
        <is>
          <t>Yes</t>
        </is>
      </c>
      <c r="G522" t="inlineStr">
        <is>
          <t>AFM 0.1.0-AICC-817</t>
        </is>
      </c>
      <c r="H522" s="21" t="inlineStr">
        <is>
          <t>Not applicable on this run (log test soft-reset-all-ports-up; mapping inferred): one compute had a port not LINK_UP.</t>
        </is>
      </c>
      <c r="I522" s="21" t="inlineStr">
        <is>
          <t>Compute SSH + datapath traffic</t>
        </is>
      </c>
      <c r="J522" s="21" t="inlineStr">
        <is>
          <t>Compute</t>
        </is>
      </c>
      <c r="K522" s="21" t="inlineStr">
        <is>
          <t>BKC-26.12 plan</t>
        </is>
      </c>
      <c r="L522" s="21" t="inlineStr">
        <is>
          <t>Disruptive</t>
        </is>
      </c>
    </row>
    <row r="523" hidden="1" ht="16" customHeight="1" s="33">
      <c r="A523" s="5" t="inlineStr">
        <is>
          <t>TC-RAS-reset-004</t>
        </is>
      </c>
      <c r="B523" s="5" t="inlineStr">
        <is>
          <t>L2</t>
        </is>
      </c>
      <c r="C523" s="5" t="inlineStr">
        <is>
          <t>crossdomain transferbench/rccl do datapath reset before running traffic via afmctl reset device --datapath with partial stations</t>
        </is>
      </c>
      <c r="D523" t="inlineStr">
        <is>
          <t>Yes</t>
        </is>
      </c>
      <c r="I523" s="21" t="inlineStr">
        <is>
          <t>Compute SSH + datapath traffic</t>
        </is>
      </c>
      <c r="J523" s="21" t="inlineStr">
        <is>
          <t>Compute</t>
        </is>
      </c>
      <c r="K523" s="21" t="inlineStr">
        <is>
          <t>BKC-26.12 plan</t>
        </is>
      </c>
      <c r="L523" t="inlineStr">
        <is>
          <t>Disruptive</t>
        </is>
      </c>
    </row>
    <row r="524" hidden="1" ht="29" customHeight="1" s="33">
      <c r="A524" s="5" t="inlineStr">
        <is>
          <t>TC-RAS-reset-005</t>
        </is>
      </c>
      <c r="B524" s="5" t="inlineStr">
        <is>
          <t>L2</t>
        </is>
      </c>
      <c r="C524" s="13" t="inlineStr">
        <is>
          <t>verify crossdomain transferbench/rccl works with 2 nodes in vpod. move node1 out of the vpod to a different user vpod. verify indomain transferbench works on both node1 and node2 (seperated in its own vpod)</t>
        </is>
      </c>
      <c r="D524" t="inlineStr">
        <is>
          <t>Yes</t>
        </is>
      </c>
      <c r="G524" t="inlineStr">
        <is>
          <t>AFM 0.1.0-AICC-817</t>
        </is>
      </c>
      <c r="H524" s="21" t="inlineStr">
        <is>
          <t>Log test vpod-node-migration-with-traffic (mapping inferred): user vPOD + cross-domain RCCL ALL TESTS PASSED. CT13 died after this test (cause not logged).</t>
        </is>
      </c>
      <c r="I524" s="21" t="inlineStr">
        <is>
          <t>AFM API + compute SSH + datapath traffic</t>
        </is>
      </c>
      <c r="J524" s="21" t="inlineStr">
        <is>
          <t>Compute</t>
        </is>
      </c>
      <c r="K524" s="21" t="inlineStr">
        <is>
          <t>BKC-26.12 plan</t>
        </is>
      </c>
      <c r="L524" s="21" t="inlineStr">
        <is>
          <t>Disruptive</t>
        </is>
      </c>
    </row>
    <row r="525" hidden="1" ht="32" customHeight="1" s="33">
      <c r="A525" s="5" t="inlineStr">
        <is>
          <t>TC-RAS-reset-006</t>
        </is>
      </c>
      <c r="B525" s="5" t="inlineStr">
        <is>
          <t>L2</t>
        </is>
      </c>
      <c r="C525" s="13" t="inlineStr">
        <is>
          <t>from the state of TC-RAS-reset-005, move node2 to user vpod that node1 is part of. Running crossdomain rccl/transferbench.</t>
        </is>
      </c>
      <c r="D525" t="inlineStr">
        <is>
          <t>Yes</t>
        </is>
      </c>
      <c r="G525" t="inlineStr">
        <is>
          <t>AFM 0.1.0-AICC-817</t>
        </is>
      </c>
      <c r="H525" s="21" t="inlineStr">
        <is>
          <t>Covered by vpod-node-migration-with-traffic (mapping inferred).</t>
        </is>
      </c>
      <c r="I525" s="21" t="inlineStr">
        <is>
          <t>AFM API + compute SSH + datapath traffic</t>
        </is>
      </c>
      <c r="J525" s="21" t="inlineStr">
        <is>
          <t>Compute</t>
        </is>
      </c>
      <c r="K525" s="21" t="inlineStr">
        <is>
          <t>BKC-26.12 plan</t>
        </is>
      </c>
      <c r="L525" s="21" t="inlineStr">
        <is>
          <t>Disruptive</t>
        </is>
      </c>
    </row>
    <row r="526" hidden="1" ht="29" customHeight="1" s="33">
      <c r="A526" s="5" t="inlineStr">
        <is>
          <t>TC-RAS-reset-007</t>
        </is>
      </c>
      <c r="B526" s="5" t="inlineStr">
        <is>
          <t>L2</t>
        </is>
      </c>
      <c r="C526" s="13" t="inlineStr">
        <is>
          <t>do os reboot one of the nodes in a vpod. After the node is up, do "afmctl reset device --datapath" on the nodes in the vpod that didnt reboot. Verify crossdomina transferbench and rccl</t>
        </is>
      </c>
      <c r="D526" t="inlineStr">
        <is>
          <t>Yes</t>
        </is>
      </c>
      <c r="G526" t="inlineStr">
        <is>
          <t>AFM 0.1.0-AICC-817</t>
        </is>
      </c>
      <c r="H526" s="21" t="inlineStr">
        <is>
          <t>Datapath reset on one node + OS reboot of another; boot_id changed, GPUs ACTIVE, TB + RCCL pass. Note: amdgpu is not auto-loaded after reboot in sideband mode.</t>
        </is>
      </c>
      <c r="I526" s="21" t="inlineStr">
        <is>
          <t>Compute SSH + datapath traffic + node reboot</t>
        </is>
      </c>
      <c r="J526" s="21" t="inlineStr">
        <is>
          <t>Compute</t>
        </is>
      </c>
      <c r="K526" s="21" t="inlineStr">
        <is>
          <t>BKC-26.12 plan</t>
        </is>
      </c>
      <c r="L526" s="21" t="inlineStr">
        <is>
          <t>Disruptive</t>
        </is>
      </c>
    </row>
    <row r="527" hidden="1" ht="29" customHeight="1" s="33">
      <c r="A527" s="5" t="inlineStr">
        <is>
          <t>TC-RAS-reset-008</t>
        </is>
      </c>
      <c r="B527" s="5" t="inlineStr">
        <is>
          <t>L2</t>
        </is>
      </c>
      <c r="C527" s="13" t="inlineStr">
        <is>
          <t>do dc cycle one of the nodes in a vpod. After the node is up, do "afmctl reset device --datapath" on the nodes in the vpod that didnt reboot. Verify crossdomina transferbench and rccl</t>
        </is>
      </c>
      <c r="D527" t="inlineStr">
        <is>
          <t>Yes</t>
        </is>
      </c>
      <c r="I527" s="21" t="inlineStr">
        <is>
          <t>Compute SSH + datapath traffic + BMC</t>
        </is>
      </c>
      <c r="J527" s="21" t="inlineStr">
        <is>
          <t>Compute</t>
        </is>
      </c>
      <c r="K527" s="21" t="inlineStr">
        <is>
          <t>BKC-26.12 plan</t>
        </is>
      </c>
      <c r="L527" t="inlineStr">
        <is>
          <t>Disruptive</t>
        </is>
      </c>
    </row>
    <row r="528" hidden="1" ht="29" customHeight="1" s="33">
      <c r="A528" s="5" t="inlineStr">
        <is>
          <t>TC-RAS-reset-009</t>
        </is>
      </c>
      <c r="B528" s="5" t="inlineStr">
        <is>
          <t>L2</t>
        </is>
      </c>
      <c r="C528" s="13" t="inlineStr">
        <is>
          <t>do ac cycle one of the nodes in a vpod. After the node is up, do "afmctl reset device --datapath" on the nodes in the vpod that didnt reboot. Verify crossdomina transferbench and rccl</t>
        </is>
      </c>
      <c r="D528" t="inlineStr">
        <is>
          <t>Yes</t>
        </is>
      </c>
      <c r="I528" s="21" t="inlineStr">
        <is>
          <t>Compute SSH + datapath traffic + PDU</t>
        </is>
      </c>
      <c r="J528" s="21" t="inlineStr">
        <is>
          <t>Compute</t>
        </is>
      </c>
      <c r="K528" s="21" t="inlineStr">
        <is>
          <t>BKC-26.12 plan</t>
        </is>
      </c>
      <c r="L528" t="inlineStr">
        <is>
          <t>Disruptive</t>
        </is>
      </c>
    </row>
    <row r="529" hidden="1" ht="16" customHeight="1" s="33">
      <c r="A529" s="5" t="inlineStr">
        <is>
          <t>TC-RAS-reset-010</t>
        </is>
      </c>
      <c r="B529" s="5" t="inlineStr">
        <is>
          <t>L2</t>
        </is>
      </c>
      <c r="C529" s="5" t="inlineStr">
        <is>
          <t xml:space="preserve">Indomain transferbench/rccl do hard reset(reconfigure compute tray from AFM)  with all ports up in all stations.  </t>
        </is>
      </c>
      <c r="D529" t="inlineStr">
        <is>
          <t>Yes</t>
        </is>
      </c>
      <c r="I529" s="21" t="inlineStr">
        <is>
          <t>AFM API + compute SSH + datapath traffic</t>
        </is>
      </c>
      <c r="J529" s="21" t="inlineStr">
        <is>
          <t>Compute</t>
        </is>
      </c>
      <c r="K529" s="21" t="inlineStr">
        <is>
          <t>BKC-26.12 plan</t>
        </is>
      </c>
      <c r="L529" t="inlineStr">
        <is>
          <t>Disruptive</t>
        </is>
      </c>
    </row>
    <row r="530" hidden="1" ht="16" customHeight="1" s="33">
      <c r="A530" s="5" t="inlineStr">
        <is>
          <t>TC-RAS-reset-011</t>
        </is>
      </c>
      <c r="B530" s="5" t="inlineStr">
        <is>
          <t>L2</t>
        </is>
      </c>
      <c r="C530" s="5" t="inlineStr">
        <is>
          <t xml:space="preserve">Indomain transferbench/rccl  do hard reset(reconfigure compute tray from AFM) with partial stations. </t>
        </is>
      </c>
      <c r="D530" t="inlineStr">
        <is>
          <t>Yes</t>
        </is>
      </c>
      <c r="I530" s="21" t="inlineStr">
        <is>
          <t>AFM API + compute SSH + datapath traffic</t>
        </is>
      </c>
      <c r="J530" s="21" t="inlineStr">
        <is>
          <t>Compute</t>
        </is>
      </c>
      <c r="K530" s="21" t="inlineStr">
        <is>
          <t>BKC-26.12 plan</t>
        </is>
      </c>
      <c r="L530" t="inlineStr">
        <is>
          <t>Disruptive</t>
        </is>
      </c>
    </row>
    <row r="531" hidden="1" ht="32" customHeight="1" s="33">
      <c r="A531" s="5" t="inlineStr">
        <is>
          <t>TC-RAS-reset-012</t>
        </is>
      </c>
      <c r="B531" s="5" t="inlineStr">
        <is>
          <t>L2</t>
        </is>
      </c>
      <c r="C531" s="5" t="inlineStr">
        <is>
          <t>crossdomain transferbench/rccl do hard reset(reconfigure compute tray from AFM) with all ports up in all stations</t>
        </is>
      </c>
      <c r="D531" t="inlineStr">
        <is>
          <t>Yes</t>
        </is>
      </c>
      <c r="G531" t="inlineStr">
        <is>
          <t>AFM 0.1.0-AICC-817</t>
        </is>
      </c>
      <c r="H531" s="21" t="inlineStr">
        <is>
          <t>Log test reconfigure-compute-traffic (mapping inferred): Reconfigure OK on all computes; TransferBench hung and CT15 became unreachable (host hang/self-reset; corrected PCIe/MC errors).</t>
        </is>
      </c>
      <c r="I531" s="21" t="inlineStr">
        <is>
          <t>AFM API + compute SSH + datapath traffic</t>
        </is>
      </c>
      <c r="J531" s="21" t="inlineStr">
        <is>
          <t>Compute</t>
        </is>
      </c>
      <c r="K531" s="21" t="inlineStr">
        <is>
          <t>BKC-26.12 plan</t>
        </is>
      </c>
      <c r="L531" s="21" t="inlineStr">
        <is>
          <t>Disruptive</t>
        </is>
      </c>
    </row>
    <row r="532" hidden="1" ht="16" customHeight="1" s="33">
      <c r="A532" s="5" t="inlineStr">
        <is>
          <t>TC-RAS-reset-013</t>
        </is>
      </c>
      <c r="B532" s="5" t="inlineStr">
        <is>
          <t>L2</t>
        </is>
      </c>
      <c r="C532" s="5" t="inlineStr">
        <is>
          <t>crossdomain transferbench/rccl do hard reset(reconfigure compute tray from AFM) with partial stations</t>
        </is>
      </c>
      <c r="D532" t="inlineStr">
        <is>
          <t>Yes</t>
        </is>
      </c>
      <c r="I532" s="21" t="inlineStr">
        <is>
          <t>AFM API + compute SSH + datapath traffic</t>
        </is>
      </c>
      <c r="J532" s="21" t="inlineStr">
        <is>
          <t>Compute</t>
        </is>
      </c>
      <c r="K532" s="21" t="inlineStr">
        <is>
          <t>BKC-26.12 plan</t>
        </is>
      </c>
      <c r="L532" t="inlineStr">
        <is>
          <t>Disruptive</t>
        </is>
      </c>
    </row>
    <row r="533" hidden="1" ht="32" customHeight="1" s="33">
      <c r="A533" s="5" t="inlineStr">
        <is>
          <t>TC-RAS-reset-014</t>
        </is>
      </c>
      <c r="B533" s="5" t="inlineStr">
        <is>
          <t>L2</t>
        </is>
      </c>
      <c r="C533" s="5" t="inlineStr">
        <is>
          <t>crossdomain transferbench/rccl do datapath reset with afmctl reset device --datapaht followed by  hard reset(reconfigure compute tray from AFM) with all ports up in all stations</t>
        </is>
      </c>
      <c r="D533" t="inlineStr">
        <is>
          <t>Yes</t>
        </is>
      </c>
      <c r="G533" t="inlineStr">
        <is>
          <t>AFM 0.1.0-AICC-817</t>
        </is>
      </c>
      <c r="H533" s="21" t="inlineStr">
        <is>
          <t>Log test soft-reset-then-reconfigure-traffic (mapping inferred): resets + Reconfigure OK; TransferBench hung on CT16 (same 'Copy (D2D) (Remote Write)' stage as CT15). Also TC bug: journalctl --since lacked UTC.</t>
        </is>
      </c>
      <c r="I533" s="21" t="inlineStr">
        <is>
          <t>AFM API + compute SSH + datapath traffic</t>
        </is>
      </c>
      <c r="J533" s="21" t="inlineStr">
        <is>
          <t>Compute</t>
        </is>
      </c>
      <c r="K533" s="21" t="inlineStr">
        <is>
          <t>BKC-26.12 plan</t>
        </is>
      </c>
      <c r="L533" s="21" t="inlineStr">
        <is>
          <t>Disruptive</t>
        </is>
      </c>
    </row>
    <row r="534" hidden="1" ht="16" customHeight="1" s="33">
      <c r="A534" s="5" t="inlineStr">
        <is>
          <t>TC-RAS-reset-015</t>
        </is>
      </c>
      <c r="B534" s="5" t="inlineStr">
        <is>
          <t>L2</t>
        </is>
      </c>
      <c r="C534" s="5" t="inlineStr">
        <is>
          <t>crossdomain transferbench/rccl do datapath reset with afmctl reset device --datapaht followed by hard reset(reconfigure compute tray from AFM) with partial stations</t>
        </is>
      </c>
      <c r="D534" t="inlineStr">
        <is>
          <t>Yes</t>
        </is>
      </c>
      <c r="I534" s="21" t="inlineStr">
        <is>
          <t>AFM API + compute SSH + datapath traffic</t>
        </is>
      </c>
      <c r="J534" s="21" t="inlineStr">
        <is>
          <t>Compute</t>
        </is>
      </c>
      <c r="K534" s="21" t="inlineStr">
        <is>
          <t>BKC-26.12 plan</t>
        </is>
      </c>
      <c r="L534" t="inlineStr">
        <is>
          <t>Disruptive</t>
        </is>
      </c>
    </row>
    <row r="535" hidden="1" ht="32" customHeight="1" s="33">
      <c r="A535" s="5" t="inlineStr">
        <is>
          <t>TC-RAS-reset-016</t>
        </is>
      </c>
      <c r="B535" s="5" t="inlineStr">
        <is>
          <t>L2</t>
        </is>
      </c>
      <c r="C535" s="5" t="inlineStr">
        <is>
          <t>crossdomain transferbench/rccl do hard reset(reconfigure compute tray from AFM)  followed by datapath reset with afmctl reset device --datapath with all ports up in all stations</t>
        </is>
      </c>
      <c r="D535" t="inlineStr">
        <is>
          <t>Yes</t>
        </is>
      </c>
      <c r="G535" t="inlineStr">
        <is>
          <t>AFM 0.1.0-AICC-817</t>
        </is>
      </c>
      <c r="H535" s="21" t="inlineStr">
        <is>
          <t>Log test reconfigure-then-soft-reset-traffic (mapping inferred): resets + Reconfigure OK; TB failed - CT14 had been re-imaged mid-batch (environment).</t>
        </is>
      </c>
      <c r="I535" s="21" t="inlineStr">
        <is>
          <t>AFM API + compute SSH + datapath traffic</t>
        </is>
      </c>
      <c r="J535" s="21" t="inlineStr">
        <is>
          <t>Compute</t>
        </is>
      </c>
      <c r="K535" s="21" t="inlineStr">
        <is>
          <t>BKC-26.12 plan</t>
        </is>
      </c>
      <c r="L535" s="21" t="inlineStr">
        <is>
          <t>Disruptive</t>
        </is>
      </c>
    </row>
    <row r="536" hidden="1" ht="16" customHeight="1" s="33">
      <c r="A536" s="5" t="inlineStr">
        <is>
          <t>TC-RAS-reset-017</t>
        </is>
      </c>
      <c r="B536" s="5" t="inlineStr">
        <is>
          <t>L2</t>
        </is>
      </c>
      <c r="C536" s="5" t="inlineStr">
        <is>
          <t>crossdomain transferbench/rccl do  hard reset(reconfigure compute tray from AFM)  followed by datapath reset with afmctl reset device --datapath  with partial stations</t>
        </is>
      </c>
      <c r="D536" t="inlineStr">
        <is>
          <t>Yes</t>
        </is>
      </c>
      <c r="I536" s="21" t="inlineStr">
        <is>
          <t>AFM API + compute SSH + datapath traffic</t>
        </is>
      </c>
      <c r="J536" s="21" t="inlineStr">
        <is>
          <t>Compute</t>
        </is>
      </c>
      <c r="K536" s="21" t="inlineStr">
        <is>
          <t>BKC-26.12 plan</t>
        </is>
      </c>
      <c r="L536" t="inlineStr">
        <is>
          <t>Disruptive</t>
        </is>
      </c>
    </row>
    <row r="537" hidden="1" ht="272" customHeight="1" s="33">
      <c r="A537" s="7" t="inlineStr">
        <is>
          <t>TC-SWH-037</t>
        </is>
      </c>
      <c r="B537" s="7" t="inlineStr">
        <is>
          <t>L1</t>
        </is>
      </c>
      <c r="C537" s="5" t="inlineStr">
        <is>
          <t>Fabric port configuration matches the cabling: every port described as a GPU link is trunk, admin up and a VLAN member; uncabled ports are admin down</t>
        </is>
      </c>
      <c r="D537" t="inlineStr">
        <is>
          <t>Yes</t>
        </is>
      </c>
      <c r="E537" t="inlineStr">
        <is>
          <t>no</t>
        </is>
      </c>
      <c r="F537" t="inlineStr">
        <is>
          <t>PARTIAL</t>
        </is>
      </c>
      <c r="G537" t="inlineStr">
        <is>
          <t>SONiC.202505I20260915070938_x100.15; afm-agent/controller 202505I20260915070938_x100.15; ROCm 10.2.0a20260922</t>
        </is>
      </c>
      <c r="H537" s="21" t="inlineStr">
        <is>
          <t>[g02-g17 full rack, rack health check: ran 2026-10-16 05:35 UTC (run g02-g17-20261016-053848), health result g02-g17-20261016-135436-merged] PARTIAL: fails only because CT05 (10.255.4.51) is unreachable - the health check groups it under the root cause "ct05 unreachable"; passed on every reachable node.
Earlier: [g02-g17 full rack, non-disruptive switch + AFM API, 14 Oct 2026] st1/asic0: Ethernet9 (To ComputeTray Slot4/GPU3[19]/Port33) is 'routed', expected trunk; st1/asic0: Ethernet9 (To ComputeTray Slot4/GPU3[19]/Port33) is in no VLAN; st1/asic0: Ethernet10 (To ComputeTray Slot4/GPU3[19]/Port35) is 'routed', expected trunk (helios-tests fullrack-switch-nd-filtered, g02-g17-20261014-092828, g02-g17-20261014-170350, g02-g17-20261014-170910)
Earlier: [analysis] Explained 14 Oct by TC-SWH-037: every routed/down port is cabled to Slot4 (CT05, accelerators 16-19) or Slot1 (CT02, accelerators 4-7) - the two compute trays that are down; their switch ports lost the trunk/VLAN config. Expected to clear when CT02/CT05 are back; not a switch template error.
Earlier: [g02-g17 full rack, added switch cases, 14 Oct 2026] st1/asic0: Ethernet9 (To ComputeTray Slot4/GPU3[19]/Port33) is 'routed', expected trunk; st1/asic0: Ethernet9 (To ComputeTray Slot4/GPU3[19]/Port33) is in no VLAN; st1/asic0: Ethernet10 (To ComputeTray Slot4/GPU3[19]/Port35) is 'routed', expected trunk (helios-tests g02-g17-20261014-083250, g02-g17-20261014-153659)
Earlier: Added to the test plan by helios-tests on 14 Oct 2026 (not in BKC-26.12). Would have flagged Ethernet9-11/17-19 (GPU-described but routed and down) on 13 Oct as a configuration error.</t>
        </is>
      </c>
      <c r="I537" s="21" t="inlineStr">
        <is>
          <t>Switch + compute SSH</t>
        </is>
      </c>
      <c r="J537" s="21" t="inlineStr">
        <is>
          <t>Switch</t>
        </is>
      </c>
      <c r="K537" s="21" t="inlineStr">
        <is>
          <t>Added - helios-tests (14 Oct 2026)</t>
        </is>
      </c>
      <c r="L537" s="21" t="inlineStr">
        <is>
          <t>Non-disruptive</t>
        </is>
      </c>
      <c r="M537" s="21" t="inlineStr">
        <is>
          <t>Blocker</t>
        </is>
      </c>
    </row>
    <row r="538" hidden="1" ht="128" customHeight="1" s="33">
      <c r="A538" s="7" t="inlineStr">
        <is>
          <t>TC-SWH-038</t>
        </is>
      </c>
      <c r="B538" s="7" t="inlineStr">
        <is>
          <t>L2</t>
        </is>
      </c>
      <c r="C538" s="5" t="inlineStr">
        <is>
          <t>Switch trays configured consistently: same SONiC build, AFM agent/controller images, port speed/MTU/role layout and VLAN set on every switch</t>
        </is>
      </c>
      <c r="D538" t="inlineStr">
        <is>
          <t>Yes</t>
        </is>
      </c>
      <c r="E538" t="inlineStr">
        <is>
          <t>no</t>
        </is>
      </c>
      <c r="F538" t="inlineStr">
        <is>
          <t>PASS</t>
        </is>
      </c>
      <c r="G538" t="inlineStr">
        <is>
          <t>SONiC.202505I20260915070938_x100.15; afm-agent/controller 202505I20260915070938_x100.15; ROCm 10.2.0a20260922</t>
        </is>
      </c>
      <c r="H538" s="21" t="inlineStr">
        <is>
          <t>[g02-g17 full rack, rack health check: ran 2026-10-15 14:56 UTC (run g02-g17-20261015-151528), health result g02-g17-20261016-135436-merged] PASS.
Earlier: [g02-g17 full rack, non-disruptive switch + AFM API, 14 Oct 2026] 1 item(s) passed (helios-tests fullrack-switch-nd-filtered, g02-g17-20261014-092828, g02-g17-20261014-170350, g02-g17-20261014-170910)
Earlier: [g02-g17 full rack, added switch cases, 14 Oct 2026] 1 item(s) passed (helios-tests g02-g17-20261014-083250, g02-g17-20261014-153659)
Earlier: Added to the test plan by helios-tests on 14 Oct 2026 (not in BKC-26.12). 13 Oct findings were identical on all 6 switches (template issue); a cross-switch diff exposes outliers.</t>
        </is>
      </c>
      <c r="I538" s="21" t="inlineStr">
        <is>
          <t>Switch + compute SSH</t>
        </is>
      </c>
      <c r="J538" s="21" t="inlineStr">
        <is>
          <t>Switch</t>
        </is>
      </c>
      <c r="K538" s="21" t="inlineStr">
        <is>
          <t>Added - helios-tests (14 Oct 2026)</t>
        </is>
      </c>
      <c r="L538" s="21" t="inlineStr">
        <is>
          <t>Non-disruptive</t>
        </is>
      </c>
      <c r="M538" s="21" t="inlineStr">
        <is>
          <t>Warning</t>
        </is>
      </c>
    </row>
    <row r="539" hidden="1" ht="160" customHeight="1" s="33">
      <c r="A539" s="7" t="inlineStr">
        <is>
          <t>TC-SWH-039</t>
        </is>
      </c>
      <c r="B539" s="7" t="inlineStr">
        <is>
          <t>L1</t>
        </is>
      </c>
      <c r="C539" s="5" t="inlineStr">
        <is>
          <t>Transceivers present on every cabled fabric port and DOM (Rx/Tx power, temperature, voltage) within the module thresholds</t>
        </is>
      </c>
      <c r="D539" t="inlineStr">
        <is>
          <t>Yes</t>
        </is>
      </c>
      <c r="E539" t="inlineStr">
        <is>
          <t>no</t>
        </is>
      </c>
      <c r="F539" t="inlineStr">
        <is>
          <t>N/A</t>
        </is>
      </c>
      <c r="G539" t="inlineStr">
        <is>
          <t>SONiC.202505I20260915070938_x100.15; afm-agent/controller 202505I20260915070938_x100.15</t>
        </is>
      </c>
      <c r="H539" s="21" t="inlineStr">
        <is>
          <t>[g02-g17 full rack, latest run 14 Oct 2026 17:04 UTC (skipped again), helios-tests g02-g17-20261014-170910 (jump host)] N/A on the g02-g17 QFX5252 platform: no pluggable transceivers: the fabric ports use backplane / cable-cartridge links ('Not present' on every port). The automated check still runs and would report data if a platform exposes it.
Earlier: [g02-g17 full rack, added switch cases, 14 Oct 2026] Skipped: st1: no pluggable transceiver on any fabric port (backplane / cable-cartridge links) - optics checks do not apply to this platform (helios-tests g02-g17-20261014-083250, g02-g17-20261014-153659)
Earlier: Added to the test plan by helios-tests on 14 Oct 2026 (not in BKC-26.12). Not covered by the plan (TC-SWH-014 is the system EEPROM, not optics).</t>
        </is>
      </c>
      <c r="I539" s="21" t="inlineStr">
        <is>
          <t>Switch + compute SSH</t>
        </is>
      </c>
      <c r="J539" s="21" t="inlineStr">
        <is>
          <t>Switch</t>
        </is>
      </c>
      <c r="K539" s="21" t="inlineStr">
        <is>
          <t>Added - helios-tests (14 Oct 2026)</t>
        </is>
      </c>
      <c r="L539" s="21" t="inlineStr">
        <is>
          <t>Non-disruptive</t>
        </is>
      </c>
    </row>
    <row r="540" hidden="1" ht="128" customHeight="1" s="33">
      <c r="A540" s="7" t="inlineStr">
        <is>
          <t>TC-SWH-040</t>
        </is>
      </c>
      <c r="B540" s="7" t="inlineStr">
        <is>
          <t>L1</t>
        </is>
      </c>
      <c r="C540" s="5" t="inlineStr">
        <is>
          <t>FEC health on fabric ports: pre-FEC BER below threshold and no uncorrectable codewords</t>
        </is>
      </c>
      <c r="D540" t="inlineStr">
        <is>
          <t>Yes</t>
        </is>
      </c>
      <c r="E540" t="inlineStr">
        <is>
          <t>no</t>
        </is>
      </c>
      <c r="F540" t="inlineStr">
        <is>
          <t>PASS</t>
        </is>
      </c>
      <c r="G540" t="inlineStr">
        <is>
          <t>SONiC.202505I20260915070938_x100.15; afm-agent/controller 202505I20260915070938_x100.15</t>
        </is>
      </c>
      <c r="H540" s="21" t="inlineStr">
        <is>
          <t>[g02-g17 full rack, non-disruptive switch + AFM API, 14 Oct 2026] 6 item(s) passed (helios-tests fullrack-switch-nd-filtered, g02-g17-20261014-092828, g02-g17-20261014-170350, g02-g17-20261014-170910)
Earlier: [g02-g17 full rack, added switch cases, 14 Oct 2026] 6 item(s) passed (helios-tests g02-g17-20261014-083250, g02-g17-20261014-153659)
Earlier: Added to the test plan by helios-tests on 14 Oct 2026 (not in BKC-26.12). Not covered (TC-SWH-034 checks RX/TX error counters; TC-SWA-202 only that the FEC mode is reported).</t>
        </is>
      </c>
      <c r="I540" s="21" t="inlineStr">
        <is>
          <t>Switch + compute SSH</t>
        </is>
      </c>
      <c r="J540" s="21" t="inlineStr">
        <is>
          <t>Switch</t>
        </is>
      </c>
      <c r="K540" s="21" t="inlineStr">
        <is>
          <t>Added - helios-tests (14 Oct 2026)</t>
        </is>
      </c>
      <c r="L540" s="21" t="inlineStr">
        <is>
          <t>Non-disruptive</t>
        </is>
      </c>
    </row>
    <row r="541" hidden="1" ht="192" customHeight="1" s="33">
      <c r="A541" s="7" t="inlineStr">
        <is>
          <t>TC-SWH-041</t>
        </is>
      </c>
      <c r="B541" s="7" t="inlineStr">
        <is>
          <t>L1</t>
        </is>
      </c>
      <c r="C541" s="5" t="inlineStr">
        <is>
          <t>Critical containers and services running with no recent restarts (swss/syncd/lldp per ASIC, pmon, afm-agent; afm-controller on controller switches) and system health OK</t>
        </is>
      </c>
      <c r="D541" t="inlineStr">
        <is>
          <t>Yes</t>
        </is>
      </c>
      <c r="E541" t="inlineStr">
        <is>
          <t>no</t>
        </is>
      </c>
      <c r="F541" t="inlineStr">
        <is>
          <t>PASS</t>
        </is>
      </c>
      <c r="G541" t="inlineStr">
        <is>
          <t>SONiC.202505I20260915070938_x100.15; afm-agent/controller 202505I20260915070938_x100.15; ROCm 10.2.0a20260922</t>
        </is>
      </c>
      <c r="H541" s="21" t="inlineStr">
        <is>
          <t>[g02-g17 full rack, rack health check: ran 2026-10-16 03:52 UTC (run g02-g17-20261016-035537), health result g02-g17-20261016-135436-merged] PASS.
Earlier: [g02-g17 full rack, non-disruptive switch + AFM API, 14 Oct 2026] st4: afm-agent started 349 min after the first container (restarted at 2026-10-13T06:06:11) (helios-tests fullrack-switch-nd-filtered, g02-g17-20261014-092828, g02-g17-20261014-170350, g02-g17-20261014-170910)
Earlier: [analysis] st4 afm-agent container restarted 13 Oct 06:06 UTC (~6 h after boot). 'show system-health summary' crashes with a Python traceback on this SONiC build (recorded, not judged).
Earlier: [g02-g17 full rack, added switch cases, 14 Oct 2026] st4: afm-agent started 349 min after the first container (restarted at 2026-10-13T06:06:11) (helios-tests g02-g17-20261014-083250, g02-g17-20261014-153659)
Earlier: Added to the test plan by helios-tests on 14 Oct 2026 (not in BKC-26.12). Steady-state check; TC-SWA-140/141 only test recovery after a restart (disruptive).</t>
        </is>
      </c>
      <c r="I541" s="21" t="inlineStr">
        <is>
          <t>Switch + compute SSH</t>
        </is>
      </c>
      <c r="J541" s="21" t="inlineStr">
        <is>
          <t>Switch</t>
        </is>
      </c>
      <c r="K541" s="21" t="inlineStr">
        <is>
          <t>Added - helios-tests (14 Oct 2026)</t>
        </is>
      </c>
      <c r="L541" s="21" t="inlineStr">
        <is>
          <t>Non-disruptive</t>
        </is>
      </c>
      <c r="M541" s="21" t="inlineStr">
        <is>
          <t>Blocker</t>
        </is>
      </c>
    </row>
    <row r="542" hidden="1" ht="240" customHeight="1" s="33">
      <c r="A542" s="7" t="inlineStr">
        <is>
          <t>TC-SWH-042</t>
        </is>
      </c>
      <c r="B542" s="7" t="inlineStr">
        <is>
          <t>L1</t>
        </is>
      </c>
      <c r="C542" s="5" t="inlineStr">
        <is>
          <t>No unexpected reboot and no new core files (show reboot-cause, /var/core)</t>
        </is>
      </c>
      <c r="D542" t="inlineStr">
        <is>
          <t>Yes</t>
        </is>
      </c>
      <c r="E542" t="inlineStr">
        <is>
          <t>no</t>
        </is>
      </c>
      <c r="F542" t="inlineStr">
        <is>
          <t>FAIL</t>
        </is>
      </c>
      <c r="G542" t="inlineStr">
        <is>
          <t>SONiC.202505I20260915070938_x100.15; afm-agent/controller 202505I20260915070938_x100.15; ROCm 10.2.0a20260922</t>
        </is>
      </c>
      <c r="H542" s="21" t="inlineStr">
        <is>
          <t>[g02-g17 full rack, rack health check: ran 2026-10-16 05:36 UTC (run g02-g17-20261016-053848), health result g02-g17-20261016-135436-merged] FAIL (known, reported - accepted by the health check): st1 orchagent/syncd core files from 10 Oct 16:51 UTC, st1/st5 reboot cause Unknown - reported to AMD 14 Oct; AMD 16 Oct: switch-side, HPE to debug. Failures: st1: unexpected last reboot cause: 'Unknown'; st1: 4 core file(s) in /var/core: ['sonic-orchagent.1791651073.53.0.core.tgz', 'sonic-orchagent.1791651073.53.1.core.tgz', 'sonic-syncd.1791651073.25.0.core.tgz', 'sonic-syncd.1791651073.25.1.core.tgz']; st5: unexpected last reboot cause: 'Unknown'
Earlier: [g02-g17 full rack, non-disruptive switch + AFM API, 14 Oct 2026] st1: unexpected last reboot cause: 'Unknown'; st1: 4 core file(s) in /var/core: ['sonic-orchagent.1791651073.53.0.core.tgz', 'sonic-orchagent.1791651073.53.1.core.tgz', 'sonic-syncd.1791651073.25.0.core.tgz', 'sonic-syncd.1791651073.25.1.core.tgz'] (helios-tests fullrack-switch-nd-filtered, g02-g17-20261014-092828, g02-g17-20261014-170350, g02-g17-20261014-170910)
Earlier: [analysis] st1 core files: orchagent + syncd crashed at 10 Oct 2026 16:51 UTC (during the 10-11 Oct AFM L2 runs); st1 and st5 last reboot cause 'Unknown' (power cycle or crash, not a user reboot).
Earlier: [g02-g17 full rack, added switch cases, 14 Oct 2026] st1: unexpected last reboot cause: 'Unknown'; st1: 4 core file(s) in /var/core: ['sonic-orchagent.1791651073.53.0.core.tgz', 'sonic-orchagent.1791651073.53.1.core.tgz', 'sonic-syncd.1791651073.25.0.core.tgz', 'sonic-syncd.1791651073.25.1.core.tgz'] (helios-tests g02-g17-20261014-083250, g02-g17-20261014-153659)
Earlier: Added to the test plan by helios-tests on 14 Oct 2026 (not in BKC-26.12). Not covered by the plan.</t>
        </is>
      </c>
      <c r="I542" s="21" t="inlineStr">
        <is>
          <t>Switch + compute SSH</t>
        </is>
      </c>
      <c r="J542" s="21" t="inlineStr">
        <is>
          <t>Switch</t>
        </is>
      </c>
      <c r="K542" s="21" t="inlineStr">
        <is>
          <t>Added - helios-tests (14 Oct 2026)</t>
        </is>
      </c>
      <c r="L542" s="21" t="inlineStr">
        <is>
          <t>Non-disruptive</t>
        </is>
      </c>
      <c r="M542" s="21" t="inlineStr">
        <is>
          <t>Warning</t>
        </is>
      </c>
    </row>
    <row r="543" hidden="1" ht="176" customHeight="1" s="33">
      <c r="A543" s="7" t="inlineStr">
        <is>
          <t>TC-SWH-043</t>
        </is>
      </c>
      <c r="B543" s="7" t="inlineStr">
        <is>
          <t>L1</t>
        </is>
      </c>
      <c r="C543" s="5" t="inlineStr">
        <is>
          <t>No kernel or hardware errors in the kernel log (PCIe AER, machine checks, ECC/memory, I/O errors, read-only filesystem)</t>
        </is>
      </c>
      <c r="D543" t="inlineStr">
        <is>
          <t>Yes</t>
        </is>
      </c>
      <c r="E543" t="inlineStr">
        <is>
          <t>no</t>
        </is>
      </c>
      <c r="F543" t="inlineStr">
        <is>
          <t>PASS</t>
        </is>
      </c>
      <c r="G543" t="inlineStr">
        <is>
          <t>SONiC.202505I20260915070938_x100.15; afm-agent/controller 202505I20260915070938_x100.15; ROCm 10.2.0a20260922</t>
        </is>
      </c>
      <c r="H543" s="21" t="inlineStr">
        <is>
          <t>[g02-g17 full rack, rack health check: ran 2026-10-16 03:53 UTC (run g02-g17-20261016-035537), health result g02-g17-20261016-135436-merged] PASS.
Earlier: [g02-g17 full rack, non-disruptive switch + AFM API, 14 Oct 2026] st6: 1 kernel hardware-error message(s) in the last 24 h ({'NETDEV WATCHDOG': 1}); latest: 2026 Oct 14 16:23:38.854974 helios-sw-hp-rck-g02-g17-06 CRIT kernel: [145277.003703] amd-xgbe 0000:67:00.2 eth0: NETDEV WATCHDOG: CPU: 1: transmit queue 1 timed out 5004 ms (helios-tests fullrack-switch-nd-filtered, g02-g17-20261014-092828, g02-g17-20261014-170350, g02-g17-20261014-170910)
Earlier: [analysis] st6 kernel CRIT 16:23:38 UTC: management NIC eth0 (amd-xgbe) transmit queue timeout (NETDEV WATCHDOG) - sw-06 was unreachable ~16:20-16:24 UTC with no reboot (uptime unchanged).
Earlier: Added to the test plan by helios-tests on 14 Oct 2026 (not in BKC-26.12). Catches failing hardware before it shows elsewhere.</t>
        </is>
      </c>
      <c r="I543" s="21" t="inlineStr">
        <is>
          <t>Switch SSH</t>
        </is>
      </c>
      <c r="J543" s="21" t="inlineStr">
        <is>
          <t>Switch</t>
        </is>
      </c>
      <c r="K543" s="21" t="inlineStr">
        <is>
          <t>Added - helios-tests (14 Oct 2026)</t>
        </is>
      </c>
      <c r="L543" s="21" t="inlineStr">
        <is>
          <t>Non-disruptive</t>
        </is>
      </c>
      <c r="M543" s="21" t="inlineStr">
        <is>
          <t>Warning</t>
        </is>
      </c>
    </row>
    <row r="544" hidden="1" ht="192" customHeight="1" s="33">
      <c r="A544" s="7" t="inlineStr">
        <is>
          <t>TC-SWH-044</t>
        </is>
      </c>
      <c r="B544" s="7" t="inlineStr">
        <is>
          <t>L1</t>
        </is>
      </c>
      <c r="C544" s="5" t="inlineStr">
        <is>
          <t>No new ERR/CRIT messages from syncd, orchagent, SAI or the AFM agent in the switch syslog</t>
        </is>
      </c>
      <c r="D544" t="inlineStr">
        <is>
          <t>Yes</t>
        </is>
      </c>
      <c r="E544" t="inlineStr">
        <is>
          <t>no</t>
        </is>
      </c>
      <c r="F544" t="inlineStr">
        <is>
          <t>FAIL</t>
        </is>
      </c>
      <c r="G544" t="inlineStr">
        <is>
          <t>SONiC.202505I20260915070938_x100.15; afm-agent/controller 202505I20260915070938_x100.15</t>
        </is>
      </c>
      <c r="H544" s="21" t="inlineStr">
        <is>
          <t>[g02-g17 full rack, non-disruptive switch + AFM API, 14 Oct 2026] st1: 123 new ERR/CRIT message(s) in the last 24 h by source {'ERR': 123}; latest: 2026 Oct 14 16:15:24.474622 st1 ERR swss0#orchagent: :- getPortLinkTrainingFailure: Failed to get LT failure status for Ethernet70 (helios-tests fullrack-switch-nd-filtered, g02-g17-20261014-092828, g02-g17-20261014-170350, g02-g17-20261014-170910)
Earlier: [analysis] Besides the known Ethernet513/514 uplink noise (~50k lines/day, ignored), every switch logged 65-123 orchagent 'getPortLinkTrainingFailure: Failed to get LT failure status' errors for fabric ports; the latest at 16:15-16:16 UTC, when the CPU-load case TC-SWH-012 ran on each switch - CPU load delays orchagent's link-training polls. st6 also has the eth0 NETDEV WATCHDOG CRIT.
Earlier: Added to the test plan by helios-tests on 14 Oct 2026 (not in BKC-26.12). st1's orchagent/syncd crash on 10 Oct 2026 is the kind of event this surfaces first.</t>
        </is>
      </c>
      <c r="I544" s="21" t="inlineStr">
        <is>
          <t>Switch SSH</t>
        </is>
      </c>
      <c r="J544" s="21" t="inlineStr">
        <is>
          <t>Switch</t>
        </is>
      </c>
      <c r="K544" s="21" t="inlineStr">
        <is>
          <t>Added - helios-tests (14 Oct 2026)</t>
        </is>
      </c>
      <c r="L544" s="21" t="inlineStr">
        <is>
          <t>Non-disruptive</t>
        </is>
      </c>
    </row>
    <row r="545" hidden="1" ht="80" customHeight="1" s="33">
      <c r="A545" s="7" t="inlineStr">
        <is>
          <t>TC-SWH-045</t>
        </is>
      </c>
      <c r="B545" s="7" t="inlineStr">
        <is>
          <t>L2</t>
        </is>
      </c>
      <c r="C545" s="5" t="inlineStr">
        <is>
          <t>Fabric links stable: no oper-state change on any up fabric port over a watch window</t>
        </is>
      </c>
      <c r="D545" t="inlineStr">
        <is>
          <t>Yes</t>
        </is>
      </c>
      <c r="E545" t="inlineStr">
        <is>
          <t>no</t>
        </is>
      </c>
      <c r="F545" t="inlineStr">
        <is>
          <t>PASS</t>
        </is>
      </c>
      <c r="G545" t="inlineStr">
        <is>
          <t>SONiC.202505I20260915070938_x100.15; afm-agent/controller 202505I20260915070938_x100.15</t>
        </is>
      </c>
      <c r="H545" s="21" t="inlineStr">
        <is>
          <t>[g02-g17 full rack, non-disruptive switch + AFM API, 14 Oct 2026] 6 item(s) passed (helios-tests fullrack-switch-nd-filtered, g02-g17-20261014-092828, g02-g17-20261014-170350, g02-g17-20261014-170910)
Earlier: Added to the test plan by helios-tests on 14 Oct 2026 (not in BKC-26.12). g02-g17 14 Oct showed intermittent black-holed ports (CT06, CT17, CT18).</t>
        </is>
      </c>
      <c r="I545" s="21" t="inlineStr">
        <is>
          <t>Switch SSH</t>
        </is>
      </c>
      <c r="J545" s="21" t="inlineStr">
        <is>
          <t>Switch</t>
        </is>
      </c>
      <c r="K545" s="21" t="inlineStr">
        <is>
          <t>Added - helios-tests (14 Oct 2026)</t>
        </is>
      </c>
      <c r="L545" s="21" t="inlineStr">
        <is>
          <t>Non-disruptive</t>
        </is>
      </c>
    </row>
    <row r="546" hidden="1" ht="80" customHeight="1" s="33">
      <c r="A546" s="7" t="inlineStr">
        <is>
          <t>TC-SWH-046</t>
        </is>
      </c>
      <c r="B546" s="7" t="inlineStr">
        <is>
          <t>L2</t>
        </is>
      </c>
      <c r="C546" s="5" t="inlineStr">
        <is>
          <t>PFC / QoS consistent and healthy: same PFC and QoS maps on every fabric port and switch, no PFC storm (pause counters and PFC watchdog not growing)</t>
        </is>
      </c>
      <c r="D546" t="inlineStr">
        <is>
          <t>Yes</t>
        </is>
      </c>
      <c r="E546" t="inlineStr">
        <is>
          <t>no</t>
        </is>
      </c>
      <c r="F546" t="inlineStr">
        <is>
          <t>PASS</t>
        </is>
      </c>
      <c r="G546" t="inlineStr">
        <is>
          <t>SONiC.202505I20260915070938_x100.15; afm-agent/controller 202505I20260915070938_x100.15</t>
        </is>
      </c>
      <c r="H546" s="21" t="inlineStr">
        <is>
          <t>[g02-g17 full rack, non-disruptive switch + AFM API, 14 Oct 2026] 6 item(s) passed (helios-tests fullrack-switch-nd-filtered, g02-g17-20261014-092828, g02-g17-20261014-170350, g02-g17-20261014-170910)
Earlier: Added to the test plan by helios-tests on 14 Oct 2026 (not in BKC-26.12). Lossless settings matter for RCCL traffic; not covered by the plan.</t>
        </is>
      </c>
      <c r="I546" s="21" t="inlineStr">
        <is>
          <t>Switch SSH</t>
        </is>
      </c>
      <c r="J546" s="21" t="inlineStr">
        <is>
          <t>Switch</t>
        </is>
      </c>
      <c r="K546" s="21" t="inlineStr">
        <is>
          <t>Added - helios-tests (14 Oct 2026)</t>
        </is>
      </c>
      <c r="L546" s="21" t="inlineStr">
        <is>
          <t>Non-disruptive</t>
        </is>
      </c>
    </row>
    <row r="547" hidden="1" ht="176" customHeight="1" s="33">
      <c r="A547" s="7" t="inlineStr">
        <is>
          <t>TC-SWH-047</t>
        </is>
      </c>
      <c r="B547" s="7" t="inlineStr">
        <is>
          <t>L2</t>
        </is>
      </c>
      <c r="C547" s="5" t="inlineStr">
        <is>
          <t>Running configuration matches the saved configuration (no unsaved changes that a reboot would revert)</t>
        </is>
      </c>
      <c r="D547" t="inlineStr">
        <is>
          <t>Yes</t>
        </is>
      </c>
      <c r="E547" t="inlineStr">
        <is>
          <t>no</t>
        </is>
      </c>
      <c r="F547" t="inlineStr">
        <is>
          <t>PASS</t>
        </is>
      </c>
      <c r="G547" t="inlineStr">
        <is>
          <t>SONiC.202505I20260915070938_x100.15; afm-agent/controller 202505I20260915070938_x100.15; ROCm 10.2.0a20260922</t>
        </is>
      </c>
      <c r="H547" s="21" t="inlineStr">
        <is>
          <t>[g02-g17 full rack, rack health check: ran 2026-10-16 03:53 UTC (run g02-g17-20261016-035537), health result g02-g17-20261016-135436-merged] PASS.
Earlier: [g02-g17 full rack, non-disruptive switch + AFM API, 14 Oct 2026] st1/asic0: FDB differs from the saved config - only running 0 [], only saved 12 ['Vlan100|02:00:00:04:00:1f', 'Vlan100|02:00:00:04:01:1f'], changed 0 []; st1/asic0: VLAN_MEMBER differs from the saved config - only running 0 [], only saved 12 ['Vlan100|Ethernet11', 'Vlan100|Ethernet159'], changed 0 []; st1/asic1: FDB differs from the saved config - only running 0 [], only saved 12 ['Vlan100|02:00:0 (helios-tests fullrack-switch-nd-filtered, g02-g17-20261014-092828, g02-g17-20261014-170350, g02-g17-20261014-170910)
Earlier: [analysis] On every switch the saved config_db0.json still holds 12 static FDB entries (and VLAN_MEMBER entries, seen on st5) that AFM removed from the running config - a config reload or reboot would restore them.
Earlier: Added to the test plan by helios-tests on 14 Oct 2026 (not in BKC-26.12). Not covered by the plan.</t>
        </is>
      </c>
      <c r="I547" s="21" t="inlineStr">
        <is>
          <t>Switch SSH</t>
        </is>
      </c>
      <c r="J547" s="21" t="inlineStr">
        <is>
          <t>Switch</t>
        </is>
      </c>
      <c r="K547" s="21" t="inlineStr">
        <is>
          <t>Added - helios-tests (14 Oct 2026)</t>
        </is>
      </c>
      <c r="L547" s="21" t="inlineStr">
        <is>
          <t>Non-disruptive</t>
        </is>
      </c>
      <c r="M547" s="21" t="inlineStr">
        <is>
          <t>Warning</t>
        </is>
      </c>
    </row>
    <row r="548" hidden="1" ht="144" customHeight="1" s="33">
      <c r="A548" s="7" t="inlineStr">
        <is>
          <t>TC-SWH-048</t>
        </is>
      </c>
      <c r="B548" s="7" t="inlineStr">
        <is>
          <t>L2</t>
        </is>
      </c>
      <c r="C548" s="5" t="inlineStr">
        <is>
          <t>AFM and switch topology agree: every admitted compute's GPUs are cabled (port descriptions) and up on every switch, accelerator IDs match AFM, and ports of computes AFM does not admit are not in service</t>
        </is>
      </c>
      <c r="D548" t="inlineStr">
        <is>
          <t>Yes</t>
        </is>
      </c>
      <c r="E548" t="inlineStr">
        <is>
          <t>no</t>
        </is>
      </c>
      <c r="F548" t="inlineStr">
        <is>
          <t>PASS</t>
        </is>
      </c>
      <c r="G548" t="inlineStr">
        <is>
          <t>SONiC.202505I20260915070938_x100.15; afm-agent/controller 202505I20260915070938_x100.15; ROCm 10.2.0a20260922</t>
        </is>
      </c>
      <c r="H548" s="21" t="inlineStr">
        <is>
          <t>[g02-g17 full rack, rack health check: ran 2026-10-15 14:46 UTC (run g02-g17-20261015-151528), health result g02-g17-20261016-135436-merged] PASS.
Earlier: [analysis] PASS: AFM and all 6 switches agree on which accelerators are cabled where. AFM lists slots 1, 4 and 16 (CT02, CT05, CT17) as admitted but unhealthy. The GPU numbering in the port descriptions differs from AFM gpu-info within a tray (same accelerator set).
[g02-g17 full rack, added switch cases batch 3, 14 Oct 2026] 1 item(s) passed (helios-tests g02-g17-20261014-110752, g02-g17-20261014-111650, g02-g17-20261014-182037, g02-g17-20261014-182446)
Earlier: Added to the test plan by helios-tests on 14 Oct 2026 (not in BKC-26.12). Catches AFM and the switches drifting apart.</t>
        </is>
      </c>
      <c r="I548" s="21" t="inlineStr">
        <is>
          <t>AFM API + switch SSH</t>
        </is>
      </c>
      <c r="J548" s="21" t="inlineStr">
        <is>
          <t>Switch (AFM API)</t>
        </is>
      </c>
      <c r="K548" s="21" t="inlineStr">
        <is>
          <t>Added - helios-tests (14 Oct 2026)</t>
        </is>
      </c>
      <c r="L548" s="21" t="inlineStr">
        <is>
          <t>Non-disruptive</t>
        </is>
      </c>
      <c r="M548" s="21" t="inlineStr">
        <is>
          <t>Blocker</t>
        </is>
      </c>
    </row>
    <row r="549" hidden="1" ht="80" customHeight="1" s="33">
      <c r="A549" s="7" t="inlineStr">
        <is>
          <t>TC-SWH-049</t>
        </is>
      </c>
      <c r="B549" s="7" t="inlineStr">
        <is>
          <t>L1</t>
        </is>
      </c>
      <c r="C549" s="5" t="inlineStr">
        <is>
          <t>Fabric port state healthy: every up fabric port reports link training trained, RS-FEC, its configured speed and host_tx_ready true</t>
        </is>
      </c>
      <c r="D549" t="inlineStr">
        <is>
          <t>Yes</t>
        </is>
      </c>
      <c r="E549" t="inlineStr">
        <is>
          <t>no</t>
        </is>
      </c>
      <c r="F549" t="inlineStr">
        <is>
          <t>PASS</t>
        </is>
      </c>
      <c r="G549" t="inlineStr">
        <is>
          <t>SONiC.202505I20260915070938_x100.15; afm-agent/controller 202505I20260915070938_x100.15; ROCm 10.2.0a20260922</t>
        </is>
      </c>
      <c r="H549" s="21" t="inlineStr">
        <is>
          <t>[g02-g17 full rack, rack health check: ran 2026-10-15 14:57 UTC (run g02-g17-20261015-151528), health result g02-g17-20261016-135436-merged] PASS.
Earlier: [g02-g17 full rack, added switch cases batch 3, 14 Oct 2026] 6 item(s) passed (helios-tests g02-g17-20261014-110752, g02-g17-20261014-111650, g02-g17-20261014-182037, g02-g17-20261014-182446)
Earlier: Added to the test plan by helios-tests on 14 Oct 2026 (not in BKC-26.12). sw-05 Ethernet1 was up with host_tx_ready false on 14 Oct.</t>
        </is>
      </c>
      <c r="I549" s="21" t="inlineStr">
        <is>
          <t>Switch SSH</t>
        </is>
      </c>
      <c r="J549" s="21" t="inlineStr">
        <is>
          <t>Switch</t>
        </is>
      </c>
      <c r="K549" s="21" t="inlineStr">
        <is>
          <t>Added - helios-tests (14 Oct 2026)</t>
        </is>
      </c>
      <c r="L549" s="21" t="inlineStr">
        <is>
          <t>Non-disruptive</t>
        </is>
      </c>
      <c r="M549" s="21" t="inlineStr">
        <is>
          <t>Blocker</t>
        </is>
      </c>
    </row>
    <row r="550" hidden="1" ht="176" customHeight="1" s="33">
      <c r="A550" s="7" t="inlineStr">
        <is>
          <t>TC-SWH-050</t>
        </is>
      </c>
      <c r="B550" s="7" t="inlineStr">
        <is>
          <t>L2</t>
        </is>
      </c>
      <c r="C550" s="5" t="inlineStr">
        <is>
          <t>Static MAC entries match the fabric: every static FDB entry sits on a port cabled to an admitted compute, and no admitted compute's ports lack their entries</t>
        </is>
      </c>
      <c r="D550" t="inlineStr">
        <is>
          <t>Yes</t>
        </is>
      </c>
      <c r="E550" t="inlineStr">
        <is>
          <t>no</t>
        </is>
      </c>
      <c r="F550" t="inlineStr">
        <is>
          <t>FAIL</t>
        </is>
      </c>
      <c r="G550" t="inlineStr">
        <is>
          <t>SONiC.202505I20260915070938_x100.15; afm-agent/controller 202505I20260915070938_x100.15; ROCm 10.2.0a20260922</t>
        </is>
      </c>
      <c r="H550" s="21" t="inlineStr">
        <is>
          <t>[g02-g17 full rack, rack health check: ran 2026-10-16 05:26 UTC (run g02-g17-20261016-053848), health result g02-g17-20261016-135436-merged] FAIL (known, reported - accepted by the health check): 72 stale static MACs per switch in Vlan2 (no members) - reported to AMD 14 Oct; AMD 16 Oct: most likely stale from the ARC run, AFM does not use VLAN 2 (clean-up owner asked). Failures: st1/asic0: static MAC 02:00:00:0d:00:21 in Vlan2 on Ethernet217: port is not a member of Vlan2; st1/asic0: static MAC 02:00:00:06:01:21 in Vlan2 on Ethernet113: port is not a member of Vlan2; st1/asic0: static MAC 02:00:00:0d:00:1f in Vlan2 on Ethernet219: port is not a member of Vlan2; st1/asic0: static MAC 02:00:00:0d:02:21 in Vlan2 on Ethernet33: port is not a member of Vlan2; st1/asic0: static MAC 02:00:00:0d:01:23 in Vlan2 on Ethernet98: port is not a member of Vlan2; st1/asic0: static MAC 02:00:00:0f:02:1f in Vlan2 on Ethernet79: port is not a member of Vlan2
Earlier: [analysis] Every switch has 72 static FDB entries in Vlan2 on ports that are not Vlan2 members (Vlan2 has no members at all) - stale forwarding entries.
[g02-g17 full rack, added switch cases batch 3, 14 Oct 2026] st1/asic0: static MAC 02:00:00:0d:00:21 in Vlan2 on Ethernet217: port is not a member of Vlan2; st1/asic0: static MAC 02:00:00:06:01:21 in Vlan2 on Ethernet113: port is not a member of Vlan2; st1/asic0: static MAC 02:00:00:0d:00:1f in Vlan2 on Ethernet219: port is not a member of Vlan2 (helios-tests g02-g17-20261014-110752, g02-g17-20261014-111650, g02-g17-20261014-182037, g02-g17-20261014-182446)
Earlier: Added to the test plan by helios-tests on 14 Oct 2026 (not in BKC-26.12). Stale static FDB entries of down trays were found in the saved config on 14 Oct.</t>
        </is>
      </c>
      <c r="I550" s="21" t="inlineStr">
        <is>
          <t>AFM API + switch SSH</t>
        </is>
      </c>
      <c r="J550" s="21" t="inlineStr">
        <is>
          <t>Switch (AFM API)</t>
        </is>
      </c>
      <c r="K550" s="21" t="inlineStr">
        <is>
          <t>Added - helios-tests (14 Oct 2026)</t>
        </is>
      </c>
      <c r="L550" s="21" t="inlineStr">
        <is>
          <t>Non-disruptive</t>
        </is>
      </c>
      <c r="M550" s="21" t="inlineStr">
        <is>
          <t>Warning</t>
        </is>
      </c>
    </row>
    <row r="551" hidden="1" ht="64" customHeight="1" s="33">
      <c r="A551" s="7" t="inlineStr">
        <is>
          <t>TC-SWH-051</t>
        </is>
      </c>
      <c r="B551" s="7" t="inlineStr">
        <is>
          <t>L2</t>
        </is>
      </c>
      <c r="C551" s="5" t="inlineStr">
        <is>
          <t>vPOD isolation on the switch: no fabric port is a member of more than one vPOD VLAN, and MAC learning is disabled on the vPOD VLANs</t>
        </is>
      </c>
      <c r="D551" t="inlineStr">
        <is>
          <t>Yes</t>
        </is>
      </c>
      <c r="E551" t="inlineStr">
        <is>
          <t>no</t>
        </is>
      </c>
      <c r="F551" t="inlineStr">
        <is>
          <t>PASS</t>
        </is>
      </c>
      <c r="G551" t="inlineStr">
        <is>
          <t>SONiC.202505I20260915070938_x100.15; afm-agent/controller 202505I20260915070938_x100.15</t>
        </is>
      </c>
      <c r="H551" s="21" t="inlineStr">
        <is>
          <t>[g02-g17 full rack, added switch cases batch 3, 14 Oct 2026] 6 item(s) passed (helios-tests g02-g17-20261014-110752, g02-g17-20261014-111650, g02-g17-20261014-182037, g02-g17-20261014-182446)
Earlier: Added to the test plan by helios-tests on 14 Oct 2026 (not in BKC-26.12). Per-vPOD fabric correctness.</t>
        </is>
      </c>
      <c r="I551" s="21" t="inlineStr">
        <is>
          <t>Switch SSH</t>
        </is>
      </c>
      <c r="J551" s="21" t="inlineStr">
        <is>
          <t>Switch</t>
        </is>
      </c>
      <c r="K551" s="21" t="inlineStr">
        <is>
          <t>Added - helios-tests (14 Oct 2026)</t>
        </is>
      </c>
      <c r="L551" s="21" t="inlineStr">
        <is>
          <t>Non-disruptive</t>
        </is>
      </c>
    </row>
    <row r="552" hidden="1" ht="64" customHeight="1" s="33">
      <c r="A552" s="7" t="inlineStr">
        <is>
          <t>TC-SWH-052</t>
        </is>
      </c>
      <c r="B552" s="7" t="inlineStr">
        <is>
          <t>L1</t>
        </is>
      </c>
      <c r="C552" s="5" t="inlineStr">
        <is>
          <t>No queue drops growing on fabric queues over a watch window, and buffer watermarks below a threshold</t>
        </is>
      </c>
      <c r="D552" t="inlineStr">
        <is>
          <t>Yes</t>
        </is>
      </c>
      <c r="E552" t="inlineStr">
        <is>
          <t>no</t>
        </is>
      </c>
      <c r="F552" t="inlineStr">
        <is>
          <t>PASS</t>
        </is>
      </c>
      <c r="G552" t="inlineStr">
        <is>
          <t>SONiC.202505I20260915070938_x100.15; afm-agent/controller 202505I20260915070938_x100.15; ROCm 10.2.0a20260922</t>
        </is>
      </c>
      <c r="H552" s="21" t="inlineStr">
        <is>
          <t>[g02-g17 full rack, rack health check: ran 2026-10-15 14:59 UTC (run g02-g17-20261015-151528), health result g02-g17-20261016-135436-merged] PASS.
Earlier: [g02-g17 full rack, added switch cases batch 3, 14 Oct 2026] 6 item(s) passed (helios-tests g02-g17-20261014-110752, g02-g17-20261014-111650, g02-g17-20261014-182037, g02-g17-20261014-182446)
Earlier: Added to the test plan by helios-tests on 14 Oct 2026 (not in BKC-26.12). Not covered by the plan.</t>
        </is>
      </c>
      <c r="I552" s="21" t="inlineStr">
        <is>
          <t>Switch SSH</t>
        </is>
      </c>
      <c r="J552" s="21" t="inlineStr">
        <is>
          <t>Switch</t>
        </is>
      </c>
      <c r="K552" s="21" t="inlineStr">
        <is>
          <t>Added - helios-tests (14 Oct 2026)</t>
        </is>
      </c>
      <c r="L552" s="21" t="inlineStr">
        <is>
          <t>Non-disruptive</t>
        </is>
      </c>
      <c r="M552" s="21" t="inlineStr">
        <is>
          <t>Warning</t>
        </is>
      </c>
    </row>
    <row r="553" hidden="1" ht="64" customHeight="1" s="33">
      <c r="A553" s="7" t="inlineStr">
        <is>
          <t>TC-SWH-053</t>
        </is>
      </c>
      <c r="B553" s="7" t="inlineStr">
        <is>
          <t>L1</t>
        </is>
      </c>
      <c r="C553" s="5" t="inlineStr">
        <is>
          <t>ASIC resource usage (CRM: FDB, ACL, next hop, neighbour, route tables) below a threshold</t>
        </is>
      </c>
      <c r="D553" t="inlineStr">
        <is>
          <t>Yes</t>
        </is>
      </c>
      <c r="E553" t="inlineStr">
        <is>
          <t>no</t>
        </is>
      </c>
      <c r="F553" t="inlineStr">
        <is>
          <t>PASS</t>
        </is>
      </c>
      <c r="G553" t="inlineStr">
        <is>
          <t>SONiC.202505I20260915070938_x100.15; afm-agent/controller 202505I20260915070938_x100.15</t>
        </is>
      </c>
      <c r="H553" s="21" t="inlineStr">
        <is>
          <t>[g02-g17 full rack, added switch cases batch 3, 14 Oct 2026] 6 item(s) passed (helios-tests g02-g17-20261014-110752, g02-g17-20261014-111650, g02-g17-20261014-182037, g02-g17-20261014-182446)
Earlier: Added to the test plan by helios-tests on 14 Oct 2026 (not in BKC-26.12). Not covered by the plan.</t>
        </is>
      </c>
      <c r="I553" s="21" t="inlineStr">
        <is>
          <t>Switch SSH</t>
        </is>
      </c>
      <c r="J553" s="21" t="inlineStr">
        <is>
          <t>Switch</t>
        </is>
      </c>
      <c r="K553" s="21" t="inlineStr">
        <is>
          <t>Added - helios-tests (14 Oct 2026)</t>
        </is>
      </c>
      <c r="L553" s="21" t="inlineStr">
        <is>
          <t>Non-disruptive</t>
        </is>
      </c>
    </row>
    <row r="554" hidden="1" ht="80" customHeight="1" s="33">
      <c r="A554" s="7" t="inlineStr">
        <is>
          <t>TC-SWH-054</t>
        </is>
      </c>
      <c r="B554" s="7" t="inlineStr">
        <is>
          <t>L1</t>
        </is>
      </c>
      <c r="C554" s="5" t="inlineStr">
        <is>
          <t>Management interface healthy: eth0 up with no errors or drops growing, no carrier changes over a watch window, default route present</t>
        </is>
      </c>
      <c r="D554" t="inlineStr">
        <is>
          <t>Yes</t>
        </is>
      </c>
      <c r="E554" t="inlineStr">
        <is>
          <t>no</t>
        </is>
      </c>
      <c r="F554" t="inlineStr">
        <is>
          <t>PASS</t>
        </is>
      </c>
      <c r="G554" t="inlineStr">
        <is>
          <t>SONiC.202505I20260915070938_x100.15; afm-agent/controller 202505I20260915070938_x100.15</t>
        </is>
      </c>
      <c r="H554" s="21" t="inlineStr">
        <is>
          <t>[g02-g17 full rack, added switch cases batch 3, 14 Oct 2026] 6 item(s) passed (helios-tests g02-g17-20261014-110752, g02-g17-20261014-111650, g02-g17-20261014-182037, g02-g17-20261014-182446)
Earlier: Added to the test plan by helios-tests on 14 Oct 2026 (not in BKC-26.12). sw-06 eth0 transmit hang on 14 Oct.</t>
        </is>
      </c>
      <c r="I554" s="21" t="inlineStr">
        <is>
          <t>Switch SSH</t>
        </is>
      </c>
      <c r="J554" s="21" t="inlineStr">
        <is>
          <t>Switch</t>
        </is>
      </c>
      <c r="K554" s="21" t="inlineStr">
        <is>
          <t>Added - helios-tests (14 Oct 2026)</t>
        </is>
      </c>
      <c r="L554" s="21" t="inlineStr">
        <is>
          <t>Non-disruptive</t>
        </is>
      </c>
    </row>
    <row r="555" hidden="1" ht="144" customHeight="1" s="33">
      <c r="A555" s="7" t="inlineStr">
        <is>
          <t>TC-SWH-055</t>
        </is>
      </c>
      <c r="B555" s="7" t="inlineStr">
        <is>
          <t>L1</t>
        </is>
      </c>
      <c r="C555" s="5" t="inlineStr">
        <is>
          <t>All switch sensors (ASIC, CPU, board temperatures and voltages) within their thresholds</t>
        </is>
      </c>
      <c r="D555" t="inlineStr">
        <is>
          <t>Yes</t>
        </is>
      </c>
      <c r="E555" t="inlineStr">
        <is>
          <t>no</t>
        </is>
      </c>
      <c r="F555" t="inlineStr">
        <is>
          <t>FAIL</t>
        </is>
      </c>
      <c r="G555" t="inlineStr">
        <is>
          <t>SONiC.202505I20260915070938_x100.15; afm-agent/controller 202505I20260915070938_x100.15; ROCm 10.2.0a20260922</t>
        </is>
      </c>
      <c r="H555" s="21" t="inlineStr">
        <is>
          <t>[g02-g17 full rack, rack health check: ran 2026-10-16 05:36 UTC (run g02-g17-20261016-053848), health result g02-g17-20261016-135436-merged] FAIL (known, reported - accepted by the health check): CPU_VDDCR_CPU 675-695 mV below the 700 mV threshold on 1-3 switches, changing between runs (platform warning raised) - reported to AMD 15 Oct. Failures: st5: voltage CPU_VDDCR_CPU 680.0 below low threshold 700.0; st5: voltage CPU_VDDCR_CPU warning raised
Earlier: [analysis] st1, st2, st5: CPU core voltage CPU_VDDCR_CPU 680 mV, below its 700 mV low threshold (no warning raised by the platform); sw-05 read exactly 700 mV earlier.
[g02-g17 full rack, added switch cases batch 3, 14 Oct 2026] st1: voltage CPU_VDDCR_CPU 680.0 below low threshold 700.0; st1: voltage CPU_VDDCR_CPU warning raised (helios-tests g02-g17-20261014-110752, g02-g17-20261014-111650, g02-g17-20261014-182037, g02-g17-20261014-182446)
Earlier: Added to the test plan by helios-tests on 14 Oct 2026 (not in BKC-26.12). The plan covers fans and PSU temperature only.</t>
        </is>
      </c>
      <c r="I555" s="21" t="inlineStr">
        <is>
          <t>Switch SSH</t>
        </is>
      </c>
      <c r="J555" s="21" t="inlineStr">
        <is>
          <t>Switch</t>
        </is>
      </c>
      <c r="K555" s="21" t="inlineStr">
        <is>
          <t>Added - helios-tests (14 Oct 2026)</t>
        </is>
      </c>
      <c r="L555" s="21" t="inlineStr">
        <is>
          <t>Non-disruptive</t>
        </is>
      </c>
      <c r="M555" s="21" t="inlineStr">
        <is>
          <t>Warning</t>
        </is>
      </c>
    </row>
    <row r="556" hidden="1" ht="64" customHeight="1" s="33">
      <c r="A556" s="7" t="inlineStr">
        <is>
          <t>TC-SWH-056</t>
        </is>
      </c>
      <c r="B556" s="7" t="inlineStr">
        <is>
          <t>L1</t>
        </is>
      </c>
      <c r="C556" s="5" t="inlineStr">
        <is>
          <t>Resources: disk use on /, /var/log and /host, free memory and load within limits; syncd, orchagent and afm-agent memory not growing over a watch window</t>
        </is>
      </c>
      <c r="D556" t="inlineStr">
        <is>
          <t>Yes</t>
        </is>
      </c>
      <c r="E556" t="inlineStr">
        <is>
          <t>no</t>
        </is>
      </c>
      <c r="F556" t="inlineStr">
        <is>
          <t>PASS</t>
        </is>
      </c>
      <c r="G556" t="inlineStr">
        <is>
          <t>SONiC.202505I20260915070938_x100.15; afm-agent/controller 202505I20260915070938_x100.15; ROCm 10.2.0a20260922</t>
        </is>
      </c>
      <c r="H556" s="21" t="inlineStr">
        <is>
          <t>[g02-g17 full rack, rack health check: ran 2026-10-15 15:03 UTC (run g02-g17-20261015-151528), health result g02-g17-20261016-135436-merged] PASS.
Earlier: [g02-g17 full rack, added switch cases batch 3, 14 Oct 2026] 6 item(s) passed (helios-tests g02-g17-20261014-110752, g02-g17-20261014-111650, g02-g17-20261014-182037, g02-g17-20261014-182446)
Earlier: Added to the test plan by helios-tests on 14 Oct 2026 (not in BKC-26.12). Space and leak check.</t>
        </is>
      </c>
      <c r="I556" s="21" t="inlineStr">
        <is>
          <t>Switch SSH</t>
        </is>
      </c>
      <c r="J556" s="21" t="inlineStr">
        <is>
          <t>Switch</t>
        </is>
      </c>
      <c r="K556" s="21" t="inlineStr">
        <is>
          <t>Added - helios-tests (14 Oct 2026)</t>
        </is>
      </c>
      <c r="L556" s="21" t="inlineStr">
        <is>
          <t>Non-disruptive</t>
        </is>
      </c>
      <c r="M556" s="21" t="inlineStr">
        <is>
          <t>Warning</t>
        </is>
      </c>
    </row>
    <row r="557" hidden="1" ht="128" customHeight="1" s="33">
      <c r="A557" s="7" t="inlineStr">
        <is>
          <t>TC-SWH-057</t>
        </is>
      </c>
      <c r="B557" s="7" t="inlineStr">
        <is>
          <t>L1</t>
        </is>
      </c>
      <c r="C557" s="5" t="inlineStr">
        <is>
          <t>Critical processes running inside each container (swss, syncd, pmon, lldp, ...) in steady state</t>
        </is>
      </c>
      <c r="D557" t="inlineStr">
        <is>
          <t>Yes</t>
        </is>
      </c>
      <c r="E557" t="inlineStr">
        <is>
          <t>no</t>
        </is>
      </c>
      <c r="F557" t="inlineStr">
        <is>
          <t>FAIL</t>
        </is>
      </c>
      <c r="G557" t="inlineStr">
        <is>
          <t>SONiC.202505I20260915070938_x100.15; afm-agent/controller 202505I20260915070938_x100.15; ROCm 10.2.0a20260922</t>
        </is>
      </c>
      <c r="H557" s="21" t="inlineStr">
        <is>
          <t>[g02-g17 full rack, rack health check: ran 2026-10-16 05:36 UTC (run g02-g17-20261016-053848), health result g02-g17-20261016-135436-merged] FAIL (known, reported - accepted by the health check): radvd not running on all 6 switches although declared critical - reported to AMD 14 Oct. Failures: st1: radv/radvd is not running; st2: radv/radvd is not running; st3: radv/radvd is not running; st4: radv/radvd is not running; st5: radv/radvd is not running; st6: radv/radvd is not running
Earlier: [analysis] radvd (IPv6 router advertisement, declared critical in the radv container) is not running on any switch - probably unused on this fabric, but declared critical. dsserve runs as the syncd wrapper (counted as running).
[g02-g17 full rack, added switch cases batch 3, 14 Oct 2026] st1: radv/radvd is not running (helios-tests g02-g17-20261014-110752, g02-g17-20261014-111650, g02-g17-20261014-182037, g02-g17-20261014-182446)
Earlier: Added to the test plan by helios-tests on 14 Oct 2026 (not in BKC-26.12). TC-SWA-140/141 check processes only after a restart.</t>
        </is>
      </c>
      <c r="I557" s="21" t="inlineStr">
        <is>
          <t>Switch SSH</t>
        </is>
      </c>
      <c r="J557" s="21" t="inlineStr">
        <is>
          <t>Switch</t>
        </is>
      </c>
      <c r="K557" s="21" t="inlineStr">
        <is>
          <t>Added - helios-tests (14 Oct 2026)</t>
        </is>
      </c>
      <c r="L557" s="21" t="inlineStr">
        <is>
          <t>Non-disruptive</t>
        </is>
      </c>
      <c r="M557" s="21" t="inlineStr">
        <is>
          <t>Warning</t>
        </is>
      </c>
    </row>
    <row r="558" hidden="1" ht="112" customHeight="1" s="33">
      <c r="A558" s="7" t="inlineStr">
        <is>
          <t>TC-SWH-058</t>
        </is>
      </c>
      <c r="B558" s="7" t="inlineStr">
        <is>
          <t>L1</t>
        </is>
      </c>
      <c r="C558" s="5" t="inlineStr">
        <is>
          <t>Hardware watchdog armed and SSD healthy (no excessive wear, no reallocated or pending sectors)</t>
        </is>
      </c>
      <c r="D558" t="inlineStr">
        <is>
          <t>Yes</t>
        </is>
      </c>
      <c r="E558" t="inlineStr">
        <is>
          <t>no</t>
        </is>
      </c>
      <c r="F558" t="inlineStr">
        <is>
          <t>FAIL</t>
        </is>
      </c>
      <c r="G558" t="inlineStr">
        <is>
          <t>SONiC.202505I20260915070938_x100.15; afm-agent/controller 202505I20260915070938_x100.15</t>
        </is>
      </c>
      <c r="H558" s="21" t="inlineStr">
        <is>
          <t>[analysis] Hardware watchdog unarmed on all 6 switches ('watchdogutil status': Unarmed); SSD health 100%.
[g02-g17 full rack, added switch cases batch 3, 14 Oct 2026] st1: hardware watchdog not armed ('Status: Unarmed') (helios-tests g02-g17-20261014-110752, g02-g17-20261014-111650, g02-g17-20261014-182037, g02-g17-20261014-182446)
Earlier: Added to the test plan by helios-tests on 14 Oct 2026 (not in BKC-26.12). Not covered by the plan.</t>
        </is>
      </c>
      <c r="I558" s="21" t="inlineStr">
        <is>
          <t>Switch SSH</t>
        </is>
      </c>
      <c r="J558" s="21" t="inlineStr">
        <is>
          <t>Switch</t>
        </is>
      </c>
      <c r="K558" s="21" t="inlineStr">
        <is>
          <t>Added - helios-tests (14 Oct 2026)</t>
        </is>
      </c>
      <c r="L558" s="21" t="inlineStr">
        <is>
          <t>Non-disruptive</t>
        </is>
      </c>
    </row>
    <row r="559" hidden="1" ht="80" customHeight="1" s="33">
      <c r="A559" s="7" t="inlineStr">
        <is>
          <t>TC-SWH-059</t>
        </is>
      </c>
      <c r="B559" s="7" t="inlineStr">
        <is>
          <t>L2</t>
        </is>
      </c>
      <c r="C559" s="5" t="inlineStr">
        <is>
          <t>Firmware consistent across switch trays: BIOS, CPLD and FPGA versions identical on every switch</t>
        </is>
      </c>
      <c r="D559" t="inlineStr">
        <is>
          <t>Yes</t>
        </is>
      </c>
      <c r="E559" t="inlineStr">
        <is>
          <t>no</t>
        </is>
      </c>
      <c r="F559" t="inlineStr">
        <is>
          <t>PASS</t>
        </is>
      </c>
      <c r="G559" t="inlineStr">
        <is>
          <t>SONiC.202505I20260915070938_x100.15; afm-agent/controller 202505I20260915070938_x100.15; ROCm 10.2.0a20260922</t>
        </is>
      </c>
      <c r="H559" s="21" t="inlineStr">
        <is>
          <t>[g02-g17 full rack, rack health check: ran 2026-10-15 15:10 UTC (run g02-g17-20261015-151528), health result g02-g17-20261016-135436-merged] PASS.
Earlier: [g02-g17 full rack, added switch cases batch 3, 14 Oct 2026] 1 item(s) passed (helios-tests g02-g17-20261014-110752, g02-g17-20261014-111650, g02-g17-20261014-182037, g02-g17-20261014-182446)
Earlier: Added to the test plan by helios-tests on 14 Oct 2026 (not in BKC-26.12). TC-SWH-038 compares SONiC and AFM images only.</t>
        </is>
      </c>
      <c r="I559" s="21" t="inlineStr">
        <is>
          <t>Switch SSH</t>
        </is>
      </c>
      <c r="J559" s="21" t="inlineStr">
        <is>
          <t>Switch</t>
        </is>
      </c>
      <c r="K559" s="21" t="inlineStr">
        <is>
          <t>Added - helios-tests (14 Oct 2026)</t>
        </is>
      </c>
      <c r="L559" s="21" t="inlineStr">
        <is>
          <t>Non-disruptive</t>
        </is>
      </c>
      <c r="M559" s="21" t="inlineStr">
        <is>
          <t>Warning</t>
        </is>
      </c>
    </row>
    <row r="560" hidden="1" ht="80" customHeight="1" s="33">
      <c r="A560" s="7" t="inlineStr">
        <is>
          <t>TC-SWH-060</t>
        </is>
      </c>
      <c r="B560" s="7" t="inlineStr">
        <is>
          <t>L3</t>
        </is>
      </c>
      <c r="C560" s="5" t="inlineStr">
        <is>
          <t>Congestion detection: many-to-one TransferBench onto one compute tray raises the queue watermarks of the switch ports towards it well above idle (and any configured AFM congestion event); drops stop and links / planes recover afterwards</t>
        </is>
      </c>
      <c r="D560" t="inlineStr">
        <is>
          <t>Yes</t>
        </is>
      </c>
      <c r="F560" t="inlineStr">
        <is>
          <t>Pending</t>
        </is>
      </c>
      <c r="G560" t="inlineStr">
        <is>
          <t>SONiC.202505I20260915070938_x100.15; afm-agent/controller 202505I20260915070938_x100.15; ROCm 10.2.0a20260922</t>
        </is>
      </c>
      <c r="H560" s="21" t="inlineStr">
        <is>
          <t>[g02-g17 failure injection, 19 Oct 2026, run g02-g17-20261019-002101] Not a valid result yet - test-side failure, rerun needed: incast onto CT12 from CT08 / CT09 (CT06 / CT07 / CT18 excluded by the datapath pre-flight for in-tray ping loss: ports 35, 31 and 12 / 14 / 23 / 24 / 26). The two TransferBench jobs shared ct12 on the default master port; the second rank on ct12 failed ('recv: Invalid argument'), so the load lasted one 6.6 s round (ct09-&gt;ct12 364 GB/s). Watermarks on the 144 ports towards ct12 rose from 420 B idle to 18 060 B - below the 100 000 B the check requires, no queue drops. Fixed in the test (own TB_MASTER_PORT per job, helios-tests 3dba0f4). During the case AFM logged 52 link_down / 44 link_failed events (links flapping on the rack), and the health check afterwards (00:21 UTC) found pod-1.system with a pending reprogram_df again.
Earlier: [18 Oct 23:29 UTC] BLOCKED - pod-1.system configurationfailed with a pending reprogram_df; rack restored with MAINT-SYSVPOD 23:43.</t>
        </is>
      </c>
      <c r="I560" s="21" t="inlineStr">
        <is>
          <t>AFM API + switch SSH + compute SSH (TransferBench)</t>
        </is>
      </c>
      <c r="J560" s="21" t="inlineStr">
        <is>
          <t>AIOPS</t>
        </is>
      </c>
      <c r="K560" s="21" t="inlineStr">
        <is>
          <t>Added - helios-tests (18 Oct 2026)</t>
        </is>
      </c>
      <c r="L560" s="21" t="inlineStr">
        <is>
          <t>Disruptive</t>
        </is>
      </c>
      <c r="M560" s="21" t="n"/>
    </row>
    <row r="561" hidden="1" ht="80" customHeight="1" s="33">
      <c r="A561" s="7" t="inlineStr">
        <is>
          <t>TC-SWH-061</t>
        </is>
      </c>
      <c r="B561" s="7" t="inlineStr">
        <is>
          <t>L3</t>
        </is>
      </c>
      <c r="C561" s="5" t="inlineStr">
        <is>
          <t>FDB mismatch, missing entry: an AFM-programmed static FDB entry deleted on a switch is programmed again by AFM within the reconcile time (and any configured AFM FDB-mismatch event is raised)</t>
        </is>
      </c>
      <c r="D561" t="inlineStr">
        <is>
          <t>Yes</t>
        </is>
      </c>
      <c r="E561" t="inlineStr">
        <is>
          <t>yes</t>
        </is>
      </c>
      <c r="F561" t="inlineStr">
        <is>
          <t>FAIL</t>
        </is>
      </c>
      <c r="G561" t="inlineStr">
        <is>
          <t>SONiC.202505I20260915070938_x100.15; afm-agent/controller 202505I20260915070938_x100.15; ROCm 10.2.0a20260922</t>
        </is>
      </c>
      <c r="H561" s="21" t="inlineStr">
        <is>
          <t>[g02-g17 failure injection, 18-19 Oct 2026, helios-tests queue on the jump host] FAIL (run g02-g17-20261019-000533, 18 Oct 23:54 UTC): deleted st6 asic0 CONFIG_DB FDB|Vlan200|02:00:00:11:00:14 (port Ethernet186, CT18 GPU port 20); AFM did not program it again within 300 s and raised no event naming it (events in the window: link_down 26, link_failed 21, link_up 14 ... - links flapping elsewhere on the rack). The test put the entry back; verified on st6 (204 entries). Earlier attempt 18 Oct 23:19 UTC BLOCKED (pod-1.system configurationfailed).</t>
        </is>
      </c>
      <c r="I561" s="21" t="inlineStr">
        <is>
          <t>AFM API + switch SSH</t>
        </is>
      </c>
      <c r="J561" s="21" t="inlineStr">
        <is>
          <t>AIOPS</t>
        </is>
      </c>
      <c r="K561" s="21" t="inlineStr">
        <is>
          <t>Added - helios-tests (18 Oct 2026)</t>
        </is>
      </c>
      <c r="L561" s="21" t="inlineStr">
        <is>
          <t>Disruptive</t>
        </is>
      </c>
      <c r="M561" s="21" t="n"/>
    </row>
    <row r="562" hidden="1" ht="80" customHeight="1" s="33">
      <c r="A562" s="7" t="inlineStr">
        <is>
          <t>TC-SWH-062</t>
        </is>
      </c>
      <c r="B562" s="7" t="inlineStr">
        <is>
          <t>L3</t>
        </is>
      </c>
      <c r="C562" s="5" t="inlineStr">
        <is>
          <t>FDB mismatch, foreign entry: a static FDB entry AFM did not program, added on a fabric port, is removed by AFM within the reconcile time (and any configured AFM FDB-mismatch event is raised)</t>
        </is>
      </c>
      <c r="D562" t="inlineStr">
        <is>
          <t>Yes</t>
        </is>
      </c>
      <c r="E562" t="inlineStr">
        <is>
          <t>yes</t>
        </is>
      </c>
      <c r="F562" t="inlineStr">
        <is>
          <t>FAIL</t>
        </is>
      </c>
      <c r="G562" t="inlineStr">
        <is>
          <t>SONiC.202505I20260915070938_x100.15; afm-agent/controller 202505I20260915070938_x100.15; ROCm 10.2.0a20260922</t>
        </is>
      </c>
      <c r="H562" s="21" t="inlineStr">
        <is>
          <t>[g02-g17 failure injection, 18-19 Oct 2026, helios-tests queue on the jump host] FAIL (run g02-g17-20261019-000533, 19 Oct 00:00 UTC): added st6 asic0 CONFIG_DB FDB|Vlan200|02:00:00:7f:61:2e -&gt; Ethernet186 (MAC of no tray); AFM did not remove it within 300 s and raised no event naming it. The test removed it; verified gone on st6. Earlier attempt 18 Oct 23:19 UTC BLOCKED (pod-1.system configurationfailed).</t>
        </is>
      </c>
      <c r="I562" s="21" t="inlineStr">
        <is>
          <t>AFM API + switch SSH</t>
        </is>
      </c>
      <c r="J562" s="21" t="inlineStr">
        <is>
          <t>AIOPS</t>
        </is>
      </c>
      <c r="K562" s="21" t="inlineStr">
        <is>
          <t>Added - helios-tests (18 Oct 2026)</t>
        </is>
      </c>
      <c r="L562" s="21" t="inlineStr">
        <is>
          <t>Disruptive</t>
        </is>
      </c>
      <c r="M562" s="21" t="n"/>
    </row>
    <row r="563" hidden="1" ht="96" customHeight="1" s="33">
      <c r="A563" s="7" t="inlineStr">
        <is>
          <t>HC-000</t>
        </is>
      </c>
      <c r="B563" s="7" t="inlineStr">
        <is>
          <t>L1</t>
        </is>
      </c>
      <c r="C563" s="5" t="inlineStr">
        <is>
          <t>Health check: AFM rack state (cluster, switch / compute admission and health, system vPOD, pending operations) + baseline snapshot</t>
        </is>
      </c>
      <c r="D563" t="inlineStr">
        <is>
          <t>Yes</t>
        </is>
      </c>
      <c r="F563" t="inlineStr">
        <is>
          <t>PARTIAL</t>
        </is>
      </c>
      <c r="G563" t="inlineStr">
        <is>
          <t>SONiC.202505I20260915070938_x100.15; afm-agent/controller 202505I20260915070938_x100.15; ROCm 10.2.0a20260922</t>
        </is>
      </c>
      <c r="H563" s="21" t="inlineStr">
        <is>
          <t>[g02-g17 full rack, rack health check: ran 2026-10-16 05:23 UTC (run g02-g17-20261016-053848), health result g02-g17-20261016-135436-merged] PARTIAL: fails only because CT05 (10.255.4.51) is unreachable - the health check groups it under the root cause "ct05 unreachable"; passed on every reachable node.</t>
        </is>
      </c>
      <c r="I563" s="21" t="inlineStr">
        <is>
          <t>AFM API + switch SSH</t>
        </is>
      </c>
      <c r="J563" s="21" t="inlineStr">
        <is>
          <t>Health check (Switch + Compute, AFM API)</t>
        </is>
      </c>
      <c r="K563" s="21" t="inlineStr">
        <is>
          <t>Added - helios-tests (15 Oct 2026)</t>
        </is>
      </c>
      <c r="L563" s="21" t="inlineStr">
        <is>
          <t>Non-disruptive</t>
        </is>
      </c>
      <c r="M563" t="inlineStr">
        <is>
          <t>Blocker</t>
        </is>
      </c>
    </row>
    <row r="564" hidden="1" ht="112" customHeight="1" s="33">
      <c r="A564" s="7" t="inlineStr">
        <is>
          <t>HC-001</t>
        </is>
      </c>
      <c r="B564" s="7" t="inlineStr">
        <is>
          <t>L1</t>
        </is>
      </c>
      <c r="C564" s="5" t="inlineStr">
        <is>
          <t>Health check: every switch and compute tray answers SSH</t>
        </is>
      </c>
      <c r="D564" t="inlineStr">
        <is>
          <t>Yes</t>
        </is>
      </c>
      <c r="F564" t="inlineStr">
        <is>
          <t>PARTIAL</t>
        </is>
      </c>
      <c r="G564" t="inlineStr">
        <is>
          <t>SONiC.202505I20260915070938_x100.15; afm-agent/controller 202505I20260915070938_x100.15; ROCm 10.2.0a20260922</t>
        </is>
      </c>
      <c r="H564" s="21" t="inlineStr">
        <is>
          <t>[g02-g17 full rack, rack health check: ran 2026-10-16 05:27 UTC (run g02-g17-20261016-053848), health result g02-g17-20261016-135436-merged] PARTIAL: fails only because CT05 (10.255.4.51) is unreachable - the health check groups it under the root cause "ct05 unreachable"; passed on every reachable node.</t>
        </is>
      </c>
      <c r="I564" s="21" t="inlineStr">
        <is>
          <t>Switch + compute SSH</t>
        </is>
      </c>
      <c r="J564" s="21" t="inlineStr">
        <is>
          <t>Health check (Switch + Compute)</t>
        </is>
      </c>
      <c r="K564" s="21" t="inlineStr">
        <is>
          <t>Added - helios-tests (15 Oct 2026)</t>
        </is>
      </c>
      <c r="L564" s="21" t="inlineStr">
        <is>
          <t>Non-disruptive</t>
        </is>
      </c>
      <c r="M564" t="inlineStr">
        <is>
          <t>Blocker</t>
        </is>
      </c>
    </row>
    <row r="565" hidden="1" ht="112" customHeight="1" s="33">
      <c r="A565" s="7" t="inlineStr">
        <is>
          <t>HC-002</t>
        </is>
      </c>
      <c r="B565" s="7" t="inlineStr">
        <is>
          <t>L1</t>
        </is>
      </c>
      <c r="C565" s="5" t="inlineStr">
        <is>
          <t>Health check: every tray's BMC reports chassis power on</t>
        </is>
      </c>
      <c r="D565" t="inlineStr">
        <is>
          <t>Yes</t>
        </is>
      </c>
      <c r="F565" t="inlineStr">
        <is>
          <t>Skipped</t>
        </is>
      </c>
      <c r="G565" t="inlineStr">
        <is>
          <t>SONiC.202505I20260915070938_x100.15; afm-agent/controller 202505I20260915070938_x100.15; ROCm 10.2.0a20260922</t>
        </is>
      </c>
      <c r="H565" s="21" t="inlineStr">
        <is>
          <t>[g02-g17 full rack, rack health check: ran 2026-10-15 14:47 UTC (run g02-g17-20261015-151528), health result g02-g17-20261016-135436-merged] Skipped (not configured): Skipped: commands.health.bmc_power not set (e.g. 'IPMI_PASSWORD="$HELIOS_BMC_PASSWORD" ipmitool -I lanplus -H {bmc} -U &lt;user&gt; -E chassis power status')</t>
        </is>
      </c>
      <c r="I565" s="21" t="inlineStr">
        <is>
          <t>BMC (ipmitool from the runner) + BMC credentials</t>
        </is>
      </c>
      <c r="J565" s="21" t="inlineStr">
        <is>
          <t>Health check (Compute BMC)</t>
        </is>
      </c>
      <c r="K565" s="21" t="inlineStr">
        <is>
          <t>Added - helios-tests (15 Oct 2026)</t>
        </is>
      </c>
      <c r="L565" s="21" t="inlineStr">
        <is>
          <t>Non-disruptive</t>
        </is>
      </c>
      <c r="M565" t="inlineStr">
        <is>
          <t>Warning</t>
        </is>
      </c>
    </row>
    <row r="566" hidden="1" ht="96" customHeight="1" s="33">
      <c r="A566" s="7" t="inlineStr">
        <is>
          <t>HC-003</t>
        </is>
      </c>
      <c r="B566" s="7" t="inlineStr">
        <is>
          <t>L1</t>
        </is>
      </c>
      <c r="C566" s="5" t="inlineStr">
        <is>
          <t>Health check: afmctl lists every GPU of each tray and every device is ACTIVE</t>
        </is>
      </c>
      <c r="D566" t="inlineStr">
        <is>
          <t>Yes</t>
        </is>
      </c>
      <c r="F566" t="inlineStr">
        <is>
          <t>PARTIAL</t>
        </is>
      </c>
      <c r="G566" t="inlineStr">
        <is>
          <t>SONiC.202505I20260915070938_x100.15; afm-agent/controller 202505I20260915070938_x100.15; ROCm 10.2.0a20260922</t>
        </is>
      </c>
      <c r="H566" s="21" t="inlineStr">
        <is>
          <t>[g02-g17 full rack, rack health check: ran 2026-10-16 05:27 UTC (run g02-g17-20261016-053848), health result g02-g17-20261016-135436-merged] PARTIAL: fails only because CT05 (10.255.4.51) is unreachable - the health check groups it under the root cause "ct05 unreachable"; passed on every reachable node.</t>
        </is>
      </c>
      <c r="I566" s="21" t="inlineStr">
        <is>
          <t>Compute SSH (afmctl)</t>
        </is>
      </c>
      <c r="J566" s="21" t="inlineStr">
        <is>
          <t>Health check (Compute)</t>
        </is>
      </c>
      <c r="K566" s="21" t="inlineStr">
        <is>
          <t>Added - helios-tests (15 Oct 2026)</t>
        </is>
      </c>
      <c r="L566" s="21" t="inlineStr">
        <is>
          <t>Non-disruptive</t>
        </is>
      </c>
      <c r="M566" t="inlineStr">
        <is>
          <t>Blocker</t>
        </is>
      </c>
    </row>
    <row r="567" hidden="1" ht="80" customHeight="1" s="33">
      <c r="A567" s="7" t="inlineStr">
        <is>
          <t>HC-004</t>
        </is>
      </c>
      <c r="B567" s="7" t="inlineStr">
        <is>
          <t>L1</t>
        </is>
      </c>
      <c r="C567" s="5" t="inlineStr">
        <is>
          <t>Health check: no other workload using the GPUs (amd-smi process)</t>
        </is>
      </c>
      <c r="D567" t="inlineStr">
        <is>
          <t>Yes</t>
        </is>
      </c>
      <c r="F567" t="inlineStr">
        <is>
          <t>PARTIAL</t>
        </is>
      </c>
      <c r="G567" t="inlineStr">
        <is>
          <t>SONiC.202505I20260915070938_x100.15; afm-agent/controller 202505I20260915070938_x100.15; ROCm 10.2.0a20260922</t>
        </is>
      </c>
      <c r="H567" s="21" t="inlineStr">
        <is>
          <t>[g02-g17 full rack, rack health check: ran 2026-10-16 05:27 UTC (run g02-g17-20261016-053848), health result g02-g17-20261016-135436-merged] PARTIAL: fails only because CT05 (10.255.4.51) is unreachable - the health check groups it under the root cause "ct05 unreachable"; passed on every reachable node.</t>
        </is>
      </c>
      <c r="I567" s="21" t="inlineStr">
        <is>
          <t>Compute SSH (amd-smi)</t>
        </is>
      </c>
      <c r="J567" s="21" t="inlineStr">
        <is>
          <t>Health check (Compute)</t>
        </is>
      </c>
      <c r="K567" s="21" t="inlineStr">
        <is>
          <t>Added - helios-tests (15 Oct 2026)</t>
        </is>
      </c>
      <c r="L567" s="21" t="inlineStr">
        <is>
          <t>Non-disruptive</t>
        </is>
      </c>
      <c r="M567" t="inlineStr">
        <is>
          <t>Blocker</t>
        </is>
      </c>
    </row>
    <row r="568" hidden="1" ht="96" customHeight="1" s="33">
      <c r="A568" s="7" t="inlineStr">
        <is>
          <t>HC-005</t>
        </is>
      </c>
      <c r="B568" s="7" t="inlineStr">
        <is>
          <t>L1</t>
        </is>
      </c>
      <c r="C568" s="5" t="inlineStr">
        <is>
          <t>Health check: no GPU ECC errors, no uncorrected machine checks and no AER / amdgpu / IFoE kernel errors on the trays (corrected machine checks counted)</t>
        </is>
      </c>
      <c r="D568" t="inlineStr">
        <is>
          <t>Yes</t>
        </is>
      </c>
      <c r="F568" t="inlineStr">
        <is>
          <t>PARTIAL</t>
        </is>
      </c>
      <c r="G568" t="inlineStr">
        <is>
          <t>SONiC.202505I20260915070938_x100.15; afm-agent/controller 202505I20260915070938_x100.15; ROCm 10.2.0a20260922</t>
        </is>
      </c>
      <c r="H568" s="21" t="inlineStr">
        <is>
          <t>[g02-g17 full rack, rack health check: ran 2026-10-16 05:27 UTC (run g02-g17-20261016-053848), health result g02-g17-20261016-135436-merged] PARTIAL: fails only because CT05 (10.255.4.51) is unreachable - the health check groups it under the root cause "ct05 unreachable"; passed on every reachable node.</t>
        </is>
      </c>
      <c r="I568" s="21" t="inlineStr">
        <is>
          <t>Compute SSH (amd-smi, journalctl)</t>
        </is>
      </c>
      <c r="J568" s="21" t="inlineStr">
        <is>
          <t>Health check (Compute)</t>
        </is>
      </c>
      <c r="K568" s="21" t="inlineStr">
        <is>
          <t>Added - helios-tests (15 Oct 2026)</t>
        </is>
      </c>
      <c r="L568" s="21" t="inlineStr">
        <is>
          <t>Non-disruptive</t>
        </is>
      </c>
      <c r="M568" t="inlineStr">
        <is>
          <t>Warning</t>
        </is>
      </c>
    </row>
    <row r="569" hidden="1" ht="80" customHeight="1" s="33">
      <c r="A569" s="7" t="inlineStr">
        <is>
          <t>HC-006</t>
        </is>
      </c>
      <c r="B569" s="7" t="inlineStr">
        <is>
          <t>L1</t>
        </is>
      </c>
      <c r="C569" s="5" t="inlineStr">
        <is>
          <t>Health check: tray disk and memory headroom</t>
        </is>
      </c>
      <c r="D569" t="inlineStr">
        <is>
          <t>Yes</t>
        </is>
      </c>
      <c r="F569" t="inlineStr">
        <is>
          <t>PARTIAL</t>
        </is>
      </c>
      <c r="G569" t="inlineStr">
        <is>
          <t>SONiC.202505I20260915070938_x100.15; afm-agent/controller 202505I20260915070938_x100.15; ROCm 10.2.0a20260922</t>
        </is>
      </c>
      <c r="H569" s="21" t="inlineStr">
        <is>
          <t>[g02-g17 full rack, rack health check: ran 2026-10-16 05:27 UTC (run g02-g17-20261016-053848), health result g02-g17-20261016-135436-merged] PARTIAL: fails only because CT05 (10.255.4.51) is unreachable - the health check groups it under the root cause "ct05 unreachable"; passed on every reachable node.</t>
        </is>
      </c>
      <c r="I569" s="21" t="inlineStr">
        <is>
          <t>Compute SSH</t>
        </is>
      </c>
      <c r="J569" s="21" t="inlineStr">
        <is>
          <t>Health check (Compute)</t>
        </is>
      </c>
      <c r="K569" s="21" t="inlineStr">
        <is>
          <t>Added - helios-tests (15 Oct 2026)</t>
        </is>
      </c>
      <c r="L569" s="21" t="inlineStr">
        <is>
          <t>Non-disruptive</t>
        </is>
      </c>
      <c r="M569" t="inlineStr">
        <is>
          <t>Warning</t>
        </is>
      </c>
    </row>
    <row r="570" hidden="1" ht="96" customHeight="1" s="33">
      <c r="A570" s="7" t="inlineStr">
        <is>
          <t>HC-007</t>
        </is>
      </c>
      <c r="B570" s="7" t="inlineStr">
        <is>
          <t>L1</t>
        </is>
      </c>
      <c r="C570" s="5" t="inlineStr">
        <is>
          <t>Health check: no leftover helios-* test objects in AFM (vPODs, policies, users, roles, role bindings)</t>
        </is>
      </c>
      <c r="D570" t="inlineStr">
        <is>
          <t>Yes</t>
        </is>
      </c>
      <c r="F570" t="inlineStr">
        <is>
          <t>PASS</t>
        </is>
      </c>
      <c r="G570" t="inlineStr">
        <is>
          <t>SONiC.202505I20260915070938_x100.15; afm-agent/controller 202505I20260915070938_x100.15; ROCm 10.2.0a20260922</t>
        </is>
      </c>
      <c r="H570" s="21" t="inlineStr">
        <is>
          <t>[g02-g17 full rack, rack health check: ran 2026-10-15 14:43 UTC (run g02-g17-20261015-151528), health result g02-g17-20261016-135436-merged] PASS.</t>
        </is>
      </c>
      <c r="I570" s="21" t="inlineStr">
        <is>
          <t>AFM API</t>
        </is>
      </c>
      <c r="J570" s="21" t="inlineStr">
        <is>
          <t>Health check (Switch (AFM API))</t>
        </is>
      </c>
      <c r="K570" s="21" t="inlineStr">
        <is>
          <t>Added - helios-tests (15 Oct 2026)</t>
        </is>
      </c>
      <c r="L570" s="21" t="inlineStr">
        <is>
          <t>Non-disruptive</t>
        </is>
      </c>
      <c r="M570" t="inlineStr">
        <is>
          <t>Blocker</t>
        </is>
      </c>
    </row>
    <row r="571" hidden="1" ht="96" customHeight="1" s="33">
      <c r="A571" s="7" t="inlineStr">
        <is>
          <t>HC-008</t>
        </is>
      </c>
      <c r="B571" s="7" t="inlineStr">
        <is>
          <t>L1</t>
        </is>
      </c>
      <c r="C571" s="5" t="inlineStr">
        <is>
          <t>Health check: no critical AFM events in the recent window</t>
        </is>
      </c>
      <c r="D571" t="inlineStr">
        <is>
          <t>Yes</t>
        </is>
      </c>
      <c r="F571" t="inlineStr">
        <is>
          <t>PASS</t>
        </is>
      </c>
      <c r="G571" t="inlineStr">
        <is>
          <t>SONiC.202505I20260915070938_x100.15; afm-agent/controller 202505I20260915070938_x100.15; ROCm 10.2.0a20260922</t>
        </is>
      </c>
      <c r="H571" s="21" t="inlineStr">
        <is>
          <t>[g02-g17 full rack, rack health check: ran 2026-10-15 14:43 UTC (run g02-g17-20261015-151528), health result g02-g17-20261016-135436-merged] PASS.</t>
        </is>
      </c>
      <c r="I571" s="21" t="inlineStr">
        <is>
          <t>AFM API</t>
        </is>
      </c>
      <c r="J571" s="21" t="inlineStr">
        <is>
          <t>Health check (Switch (AFM API))</t>
        </is>
      </c>
      <c r="K571" s="21" t="inlineStr">
        <is>
          <t>Added - helios-tests (15 Oct 2026)</t>
        </is>
      </c>
      <c r="L571" s="21" t="inlineStr">
        <is>
          <t>Non-disruptive</t>
        </is>
      </c>
      <c r="M571" t="inlineStr">
        <is>
          <t>Warning</t>
        </is>
      </c>
    </row>
    <row r="572" hidden="1" ht="32" customHeight="1" s="33">
      <c r="A572" s="7" t="inlineStr">
        <is>
          <t>HC-009</t>
        </is>
      </c>
      <c r="B572" s="7" t="inlineStr">
        <is>
          <t>L1</t>
        </is>
      </c>
      <c r="C572" s="5" t="inlineStr">
        <is>
          <t>Health check: AFM controllers up for a while (no recent restart)</t>
        </is>
      </c>
      <c r="D572" t="inlineStr">
        <is>
          <t>Yes</t>
        </is>
      </c>
      <c r="F572" t="inlineStr">
        <is>
          <t>PASS</t>
        </is>
      </c>
      <c r="G572" t="inlineStr">
        <is>
          <t>SONiC.202505I20260915070938_x100.15; afm-agent/controller 202505I20260915070938_x100.15; ROCm 10.2.0a20260922</t>
        </is>
      </c>
      <c r="H572" s="21" t="inlineStr">
        <is>
          <t>[g02-g17 full rack, rack health check: ran 2026-10-15 14:43 UTC (run g02-g17-20261015-151528), health result g02-g17-20261016-135436-merged] PASS.</t>
        </is>
      </c>
      <c r="I572" s="21" t="inlineStr">
        <is>
          <t>AFM API + switch SSH</t>
        </is>
      </c>
      <c r="J572" s="21" t="inlineStr">
        <is>
          <t>Health check (Switch (AFM API))</t>
        </is>
      </c>
      <c r="K572" s="21" t="inlineStr">
        <is>
          <t>Added - helios-tests (15 Oct 2026)</t>
        </is>
      </c>
      <c r="L572" s="21" t="inlineStr">
        <is>
          <t>Non-disruptive</t>
        </is>
      </c>
      <c r="M572" t="inlineStr">
        <is>
          <t>Warning</t>
        </is>
      </c>
    </row>
    <row r="573" hidden="1" ht="32" customHeight="1" s="33">
      <c r="A573" s="7" t="inlineStr">
        <is>
          <t>HC-010</t>
        </is>
      </c>
      <c r="B573" s="7" t="inlineStr">
        <is>
          <t>L1</t>
        </is>
      </c>
      <c r="C573" s="5" t="inlineStr">
        <is>
          <t>Health check: same amdgpu, ROCm, IFoE, afmctl and GPU firmware versions on every tray</t>
        </is>
      </c>
      <c r="D573" t="inlineStr">
        <is>
          <t>Yes</t>
        </is>
      </c>
      <c r="F573" t="inlineStr">
        <is>
          <t>PARTIAL</t>
        </is>
      </c>
      <c r="G573" t="inlineStr">
        <is>
          <t>SONiC.202505I20260915070938_x100.15; afm-agent/controller 202505I20260915070938_x100.15; ROCm 10.2.0a20260922</t>
        </is>
      </c>
      <c r="H573" s="21" t="inlineStr">
        <is>
          <t>[g02-g17 full rack, rack health check: ran 2026-10-16 05:27 UTC (run g02-g17-20261016-053848), health result g02-g17-20261016-135436-merged] PARTIAL: fails only because CT05 (10.255.4.51) is unreachable - the health check groups it under the root cause "ct05 unreachable"; passed on every reachable node.</t>
        </is>
      </c>
      <c r="I573" s="21" t="inlineStr">
        <is>
          <t>Compute SSH (amd-smi)</t>
        </is>
      </c>
      <c r="J573" s="21" t="inlineStr">
        <is>
          <t>Health check (Compute)</t>
        </is>
      </c>
      <c r="K573" s="21" t="inlineStr">
        <is>
          <t>Added - helios-tests (15 Oct 2026)</t>
        </is>
      </c>
      <c r="L573" s="21" t="inlineStr">
        <is>
          <t>Non-disruptive</t>
        </is>
      </c>
      <c r="M573" t="inlineStr">
        <is>
          <t>Warning</t>
        </is>
      </c>
    </row>
    <row r="574" hidden="1" ht="32" customHeight="1" s="33">
      <c r="A574" s="7" t="inlineStr">
        <is>
          <t>HC-011</t>
        </is>
      </c>
      <c r="B574" s="7" t="inlineStr">
        <is>
          <t>L1</t>
        </is>
      </c>
      <c r="C574" s="5" t="inlineStr">
        <is>
          <t>Health check: hardware inventory and usage of every switch and tray (CPU, memory, disks, GPUs, compute&lt;-&gt;switch links up / down)</t>
        </is>
      </c>
      <c r="D574" t="inlineStr">
        <is>
          <t>Yes</t>
        </is>
      </c>
      <c r="F574" t="inlineStr">
        <is>
          <t>PARTIAL</t>
        </is>
      </c>
      <c r="G574" t="inlineStr">
        <is>
          <t>SONiC.202505I20260915070938_x100.15; afm-agent/controller 202505I20260915070938_x100.15; ROCm 10.2.0a20260922</t>
        </is>
      </c>
      <c r="H574" s="21" t="inlineStr">
        <is>
          <t>[g02-g17 full rack, rack health check: ran 2026-10-16 05:27 UTC (run g02-g17-20261016-053848), health result g02-g17-20261016-135436-merged] PARTIAL: fails only because CT05 (10.255.4.51) is unreachable - the health check groups it under the root cause "ct05 unreachable"; passed on every reachable node.</t>
        </is>
      </c>
      <c r="I574" s="21" t="inlineStr">
        <is>
          <t>Switch + compute SSH (amd-smi, afmctl)</t>
        </is>
      </c>
      <c r="J574" s="21" t="inlineStr">
        <is>
          <t>Health check (Switch + Compute)</t>
        </is>
      </c>
      <c r="K574" s="21" t="inlineStr">
        <is>
          <t>Added - helios-tests (15 Oct 2026)</t>
        </is>
      </c>
      <c r="L574" s="21" t="inlineStr">
        <is>
          <t>Non-disruptive</t>
        </is>
      </c>
      <c r="M574" t="inlineStr">
        <is>
          <t>Warning</t>
        </is>
      </c>
    </row>
    <row r="575" hidden="1" ht="32" customHeight="1" s="33">
      <c r="A575" s="7" t="inlineStr">
        <is>
          <t>HC-012</t>
        </is>
      </c>
      <c r="B575" s="7" t="inlineStr">
        <is>
          <t>L1</t>
        </is>
      </c>
      <c r="C575" s="5" t="inlineStr">
        <is>
          <t>Health check: link scan - every GPU link of the rack checked end to end with one root cause per down / degraded link (helios-debug link_check, run as a separate tool)</t>
        </is>
      </c>
      <c r="D575" t="inlineStr">
        <is>
          <t>Yes</t>
        </is>
      </c>
      <c r="F575" t="inlineStr">
        <is>
          <t>FAIL</t>
        </is>
      </c>
      <c r="G575" t="inlineStr">
        <is>
          <t>SONiC.202505I20260915070938_x100.15; afm-agent/controller 202505I20260915070938_x100.15; ROCm 10.2.0a20260922</t>
        </is>
      </c>
      <c r="H575" s="21" t="inlineStr">
        <is>
          <t>[g02-g17 health check HC-012, 19 Oct 2026 01:22 UTC, run g02-g17-20261019-012258, link report results/runs/g02-g17/link-scans/scan-20261019-012215] FAIL: 2,592 links, 2,443 ok, 149 down - 144 of them CT05 (quarantined, recorded not failed); 5 real: 4 with no physical link on either end after being up (st4 Ethernet66 = CT18 port 28, st4 Ethernet70 = CT17 port 24, st6 Ethernet261 = CT13 port 0, st6 Ethernet257 = CT14 port 2; switch ASIC: lane 0 dark on three, no signal on either lane on Ethernet261) and 1 never up since boot (st5 Ethernet494 = CT16 port 5, clean signal that never locks). All on GPU position 0002:01:00.1 - on-site check.
[MR2 mini rack, HC-012, 19 Oct 2026 01:21 UTC, run mr2-20261018-182146 (helios-tests-ui), link report results/runs/mr2/link-scans/scan-20261019-012107] PASS: 288 GPU links (1 switch st1, 2 ASICs; 2 trays x 4 GPUs x 36 ports), 288 ok; st1 asic0 carries GPU ports 18-35 and asic1 ports 0-17 of both trays; matched by GPU port MAC; IFCP not running on MR2 (judged on the other layers; L2 ping between the trays passes on every port tested). First attempt 01:18 UTC (run mr2-20261018-181857) FAIL: st1 had no static forwarding entries for ~30 s (AFM reprogramming), so no port could be matched - the scan now re-reads an empty table and names that cause.</t>
        </is>
      </c>
      <c r="I575" s="21" t="inlineStr">
        <is>
          <t>Switch SSH + compute SSH (helios-debug link_check)</t>
        </is>
      </c>
      <c r="J575" s="21" t="inlineStr">
        <is>
          <t>Health check (Switch + Compute)</t>
        </is>
      </c>
      <c r="K575" s="21" t="inlineStr">
        <is>
          <t>Added - helios-tests (19 Oct 2026)</t>
        </is>
      </c>
      <c r="L575" s="21" t="inlineStr">
        <is>
          <t>Non-disruptive</t>
        </is>
      </c>
      <c r="M575" t="inlineStr">
        <is>
          <t>Warning</t>
        </is>
      </c>
    </row>
    <row r="576" hidden="1" ht="32" customHeight="1" s="33">
      <c r="A576" s="7" t="inlineStr">
        <is>
          <t>TC-AFM-058</t>
        </is>
      </c>
      <c r="B576" s="7" t="inlineStr">
        <is>
          <t>L2</t>
        </is>
      </c>
      <c r="C576" s="5" t="inlineStr">
        <is>
          <t>Validate that the IFoE station path-to-port mapping (afmctl show station) is cor</t>
        </is>
      </c>
      <c r="D576" t="inlineStr">
        <is>
          <t>Yes</t>
        </is>
      </c>
      <c r="H576" s="21" t="inlineStr">
        <is>
          <t>Not run on g02-g17 yet: automated (afmctl show station mapping vs AFM), not in the executed batches. Listed on the "afm" sheet of the plan.</t>
        </is>
      </c>
      <c r="I576" s="21" t="inlineStr">
        <is>
          <t>AFM API + compute SSH</t>
        </is>
      </c>
      <c r="J576" s="21" t="inlineStr">
        <is>
          <t>Switch (AFM API)</t>
        </is>
      </c>
      <c r="K576" s="21" t="inlineStr">
        <is>
          <t>BKC-26.12 plan</t>
        </is>
      </c>
      <c r="L576" s="21" t="inlineStr">
        <is>
          <t>Non-disruptive</t>
        </is>
      </c>
    </row>
    <row r="577" hidden="1" ht="32" customHeight="1" s="33">
      <c r="A577" s="7" t="inlineStr">
        <is>
          <t>TC-AFM-060</t>
        </is>
      </c>
      <c r="B577" s="7" t="inlineStr">
        <is>
          <t>L2</t>
        </is>
      </c>
      <c r="C577" s="5" t="inlineStr">
        <is>
          <t>Validate that the IFoE station port-to-path mapping (afmctl show station) and th</t>
        </is>
      </c>
      <c r="D577" t="inlineStr">
        <is>
          <t>Yes</t>
        </is>
      </c>
      <c r="H577" s="21" t="inlineStr">
        <is>
          <t>Not run on g02-g17 yet: automated (afmctl show station mapping vs AFM), not in the executed batches. Listed on the "afm" sheet of the plan.</t>
        </is>
      </c>
      <c r="I577" s="21" t="inlineStr">
        <is>
          <t>AFM API + compute SSH</t>
        </is>
      </c>
      <c r="J577" s="21" t="inlineStr">
        <is>
          <t>Switch (AFM API)</t>
        </is>
      </c>
      <c r="K577" s="21" t="inlineStr">
        <is>
          <t>BKC-26.12 plan</t>
        </is>
      </c>
      <c r="L577" s="21" t="inlineStr">
        <is>
          <t>Non-disruptive</t>
        </is>
      </c>
    </row>
    <row r="578" hidden="1" ht="32" customHeight="1" s="33">
      <c r="A578" s="7" t="inlineStr">
        <is>
          <t>TC-IBS-001</t>
        </is>
      </c>
      <c r="B578" s="7" t="inlineStr">
        <is>
          <t>L1</t>
        </is>
      </c>
      <c r="C578" s="5" t="inlineStr">
        <is>
          <t>Basic crossnode bandwidth test</t>
        </is>
      </c>
      <c r="D578" t="inlineStr">
        <is>
          <t>Yes</t>
        </is>
      </c>
      <c r="H578" s="21" t="inlineStr">
        <is>
          <t>Not run on g02-g17: automated (scale-out RDMA bandwidth over the compute trays' scale-out NICs, tests/scaleout); not scheduled - g02-g17 testing covers the scale-up fabric. Listed on the "mortaro" sheet of the plan.</t>
        </is>
      </c>
      <c r="I578" s="21" t="inlineStr">
        <is>
          <t>Compute SSH + scale-out NICs</t>
        </is>
      </c>
      <c r="J578" s="21" t="inlineStr">
        <is>
          <t>Compute</t>
        </is>
      </c>
      <c r="K578" s="21" t="inlineStr">
        <is>
          <t>BKC-26.12 plan</t>
        </is>
      </c>
      <c r="L578" s="21" t="inlineStr">
        <is>
          <t>Non-disruptive</t>
        </is>
      </c>
    </row>
    <row r="579" hidden="1" ht="32" customHeight="1" s="33">
      <c r="A579" s="7" t="inlineStr">
        <is>
          <t>TC-IBS-002</t>
        </is>
      </c>
      <c r="B579" s="7" t="inlineStr">
        <is>
          <t>L1</t>
        </is>
      </c>
      <c r="C579" s="5" t="inlineStr">
        <is>
          <t>Multi-verb bandwidth sweep</t>
        </is>
      </c>
      <c r="D579" t="inlineStr">
        <is>
          <t>Yes</t>
        </is>
      </c>
      <c r="H579" s="21" t="inlineStr">
        <is>
          <t>Not run on g02-g17: automated (scale-out RDMA bandwidth over the compute trays' scale-out NICs, tests/scaleout); not scheduled - g02-g17 testing covers the scale-up fabric. Listed on the "mortaro" sheet of the plan.</t>
        </is>
      </c>
      <c r="I579" s="21" t="inlineStr">
        <is>
          <t>Compute SSH + scale-out NICs</t>
        </is>
      </c>
      <c r="J579" s="21" t="inlineStr">
        <is>
          <t>Compute</t>
        </is>
      </c>
      <c r="K579" s="21" t="inlineStr">
        <is>
          <t>BKC-26.12 plan</t>
        </is>
      </c>
      <c r="L579" s="21" t="inlineStr">
        <is>
          <t>Non-disruptive</t>
        </is>
      </c>
    </row>
    <row r="580" hidden="1" ht="32" customHeight="1" s="33">
      <c r="A580" s="7" t="inlineStr">
        <is>
          <t>TC-IBS-003</t>
        </is>
      </c>
      <c r="B580" s="7" t="inlineStr">
        <is>
          <t>L2</t>
        </is>
      </c>
      <c r="C580" s="5" t="inlineStr">
        <is>
          <t>Queue pair scaling test</t>
        </is>
      </c>
      <c r="D580" t="inlineStr">
        <is>
          <t>Yes</t>
        </is>
      </c>
      <c r="H580" s="21" t="inlineStr">
        <is>
          <t>Not run on g02-g17: automated (scale-out RDMA bandwidth over the compute trays' scale-out NICs, tests/scaleout); not scheduled - g02-g17 testing covers the scale-up fabric. Listed on the "mortaro" sheet of the plan.</t>
        </is>
      </c>
      <c r="I580" s="21" t="inlineStr">
        <is>
          <t>Compute SSH + scale-out NICs</t>
        </is>
      </c>
      <c r="J580" s="21" t="inlineStr">
        <is>
          <t>Compute</t>
        </is>
      </c>
      <c r="K580" s="21" t="inlineStr">
        <is>
          <t>BKC-26.12 plan</t>
        </is>
      </c>
      <c r="L580" s="21" t="inlineStr">
        <is>
          <t>Non-disruptive</t>
        </is>
      </c>
    </row>
    <row r="581" hidden="1" ht="32" customHeight="1" s="33">
      <c r="A581" s="7" t="inlineStr">
        <is>
          <t>TC-IBS-004</t>
        </is>
      </c>
      <c r="B581" s="7" t="inlineStr">
        <is>
          <t>L3</t>
        </is>
      </c>
      <c r="C581" s="5" t="inlineStr">
        <is>
          <t>Full parameter matrix regression</t>
        </is>
      </c>
      <c r="D581" t="inlineStr">
        <is>
          <t>Yes</t>
        </is>
      </c>
      <c r="H581" s="21" t="inlineStr">
        <is>
          <t>Not run on g02-g17: automated (scale-out RDMA bandwidth over the compute trays' scale-out NICs, tests/scaleout); not scheduled - g02-g17 testing covers the scale-up fabric. Listed on the "mortaro" sheet of the plan.</t>
        </is>
      </c>
      <c r="I581" s="21" t="inlineStr">
        <is>
          <t>Compute SSH + scale-out NICs</t>
        </is>
      </c>
      <c r="J581" s="21" t="inlineStr">
        <is>
          <t>Compute</t>
        </is>
      </c>
      <c r="K581" s="21" t="inlineStr">
        <is>
          <t>BKC-26.12 plan</t>
        </is>
      </c>
      <c r="L581" s="21" t="inlineStr">
        <is>
          <t>Non-disruptive</t>
        </is>
      </c>
    </row>
    <row r="582" hidden="1" ht="32" customHeight="1" s="33">
      <c r="A582" s="7" t="inlineStr">
        <is>
          <t>TC-IBS-005</t>
        </is>
      </c>
      <c r="B582" s="7" t="inlineStr">
        <is>
          <t>L1</t>
        </is>
      </c>
      <c r="C582" s="5" t="inlineStr">
        <is>
          <t>Single-node loopback bandwidth test</t>
        </is>
      </c>
      <c r="D582" t="inlineStr">
        <is>
          <t>Yes</t>
        </is>
      </c>
      <c r="H582" s="21" t="inlineStr">
        <is>
          <t>Not run on g02-g17: automated (scale-out RDMA bandwidth over the compute trays' scale-out NICs, tests/scaleout); not scheduled - g02-g17 testing covers the scale-up fabric. Listed on the "mortaro" sheet of the plan.</t>
        </is>
      </c>
      <c r="I582" s="21" t="inlineStr">
        <is>
          <t>Compute SSH + scale-out NICs</t>
        </is>
      </c>
      <c r="J582" s="21" t="inlineStr">
        <is>
          <t>Compute</t>
        </is>
      </c>
      <c r="K582" s="21" t="inlineStr">
        <is>
          <t>BKC-26.12 plan</t>
        </is>
      </c>
      <c r="L582" s="21" t="inlineStr">
        <is>
          <t>Non-disruptive</t>
        </is>
      </c>
    </row>
    <row r="583" hidden="1" ht="32" customHeight="1" s="33">
      <c r="A583" s="7" t="inlineStr">
        <is>
          <t>TC-IBS-006</t>
        </is>
      </c>
      <c r="B583" s="7" t="inlineStr">
        <is>
          <t>L3</t>
        </is>
      </c>
      <c r="C583" s="5" t="inlineStr">
        <is>
          <t>Fully configurable test case</t>
        </is>
      </c>
      <c r="D583" t="inlineStr">
        <is>
          <t>Yes</t>
        </is>
      </c>
      <c r="H583" s="21" t="inlineStr">
        <is>
          <t>Not run on g02-g17: automated (scale-out RDMA bandwidth over the compute trays' scale-out NICs, tests/scaleout); not scheduled - g02-g17 testing covers the scale-up fabric. Listed on the "mortaro" sheet of the plan.</t>
        </is>
      </c>
      <c r="I583" s="21" t="inlineStr">
        <is>
          <t>Compute SSH + scale-out NICs</t>
        </is>
      </c>
      <c r="J583" s="21" t="inlineStr">
        <is>
          <t>Compute</t>
        </is>
      </c>
      <c r="K583" s="21" t="inlineStr">
        <is>
          <t>BKC-26.12 plan</t>
        </is>
      </c>
      <c r="L583" s="21" t="inlineStr">
        <is>
          <t>Non-disruptive</t>
        </is>
      </c>
    </row>
    <row r="584" ht="32" customHeight="1" s="33">
      <c r="A584" s="7" t="inlineStr">
        <is>
          <t>TC-BMC-001</t>
        </is>
      </c>
      <c r="B584" s="7" t="inlineStr">
        <is>
          <t>L1</t>
        </is>
      </c>
      <c r="C584" s="5" t="inlineStr">
        <is>
          <t>BMC reachable and login works: every switch and compute BMC answers Redfish at its own address (bmc:) with its bmc_user and BMC password</t>
        </is>
      </c>
      <c r="D584" t="inlineStr">
        <is>
          <t>Yes</t>
        </is>
      </c>
      <c r="E584" t="inlineStr">
        <is>
          <t>no</t>
        </is>
      </c>
      <c r="H584" s="21" t="inlineStr">
        <is>
          <t>Not run yet: added 20 Oct 2026, automated (tests/bmc/test_bmc.py, read-only Redfish); needs each node's bmc / bmc_user in the inventory and a BMC password (UI: Inventory tab default or Setup node table)</t>
        </is>
      </c>
      <c r="I584" s="21" t="inlineStr">
        <is>
          <t>BMC Redfish (HTTPS) from the test runner</t>
        </is>
      </c>
      <c r="J584" s="21" t="inlineStr">
        <is>
          <t>BMC (Switch + Compute)</t>
        </is>
      </c>
      <c r="K584" s="21" t="inlineStr">
        <is>
          <t>Added - helios-tests (20 Oct 2026)</t>
        </is>
      </c>
      <c r="L584" s="21" t="inlineStr">
        <is>
          <t>Non-disruptive</t>
        </is>
      </c>
    </row>
    <row r="585" ht="32" customHeight="1" s="33">
      <c r="A585" s="7" t="inlineStr">
        <is>
          <t>TC-BMC-002</t>
        </is>
      </c>
      <c r="B585" s="7" t="inlineStr">
        <is>
          <t>L1</t>
        </is>
      </c>
      <c r="C585" s="5" t="inlineStr">
        <is>
          <t>BMC power state: every system the switch and compute BMCs report is powered on</t>
        </is>
      </c>
      <c r="D585" t="inlineStr">
        <is>
          <t>Yes</t>
        </is>
      </c>
      <c r="E585" t="inlineStr">
        <is>
          <t>no</t>
        </is>
      </c>
      <c r="H585" s="21" t="inlineStr">
        <is>
          <t>Not run yet: added 20 Oct 2026, automated (tests/bmc/test_bmc.py, read-only Redfish); needs each node's bmc / bmc_user in the inventory and a BMC password (UI: Inventory tab default or Setup node table)</t>
        </is>
      </c>
      <c r="I585" s="21" t="inlineStr">
        <is>
          <t>BMC Redfish (HTTPS) from the test runner</t>
        </is>
      </c>
      <c r="J585" s="21" t="inlineStr">
        <is>
          <t>BMC (Switch + Compute)</t>
        </is>
      </c>
      <c r="K585" s="21" t="inlineStr">
        <is>
          <t>Added - helios-tests (20 Oct 2026)</t>
        </is>
      </c>
      <c r="L585" s="21" t="inlineStr">
        <is>
          <t>Non-disruptive</t>
        </is>
      </c>
    </row>
    <row r="586" ht="32" customHeight="1" s="33">
      <c r="A586" s="7" t="inlineStr">
        <is>
          <t>TC-BMC-003</t>
        </is>
      </c>
      <c r="B586" s="7" t="inlineStr">
        <is>
          <t>L1</t>
        </is>
      </c>
      <c r="C586" s="5" t="inlineStr">
        <is>
          <t>BMC health: no BMC (manager) or system reports health Critical (Warning recorded)</t>
        </is>
      </c>
      <c r="D586" t="inlineStr">
        <is>
          <t>Yes</t>
        </is>
      </c>
      <c r="E586" t="inlineStr">
        <is>
          <t>no</t>
        </is>
      </c>
      <c r="H586" s="21" t="inlineStr">
        <is>
          <t>Not run yet: added 20 Oct 2026, automated (tests/bmc/test_bmc.py, read-only Redfish); needs each node's bmc / bmc_user in the inventory and a BMC password (UI: Inventory tab default or Setup node table)</t>
        </is>
      </c>
      <c r="I586" s="21" t="inlineStr">
        <is>
          <t>BMC Redfish (HTTPS) from the test runner</t>
        </is>
      </c>
      <c r="J586" s="21" t="inlineStr">
        <is>
          <t>BMC (Switch + Compute)</t>
        </is>
      </c>
      <c r="K586" s="21" t="inlineStr">
        <is>
          <t>Added - helios-tests (20 Oct 2026)</t>
        </is>
      </c>
      <c r="L586" s="21" t="inlineStr">
        <is>
          <t>Non-disruptive</t>
        </is>
      </c>
    </row>
    <row r="587" ht="32" customHeight="1" s="33">
      <c r="A587" s="7" t="inlineStr">
        <is>
          <t>TC-BMC-004</t>
        </is>
      </c>
      <c r="B587" s="7" t="inlineStr">
        <is>
          <t>L1</t>
        </is>
      </c>
      <c r="C587" s="5" t="inlineStr">
        <is>
          <t>BMC sensors: no temperature, fan, voltage or power-supply sensor Critical or beyond its critical limit (beyond a non-critical limit recorded)</t>
        </is>
      </c>
      <c r="D587" t="inlineStr">
        <is>
          <t>Yes</t>
        </is>
      </c>
      <c r="E587" t="inlineStr">
        <is>
          <t>no</t>
        </is>
      </c>
      <c r="H587" s="21" t="inlineStr">
        <is>
          <t>Not run yet: added 20 Oct 2026, automated (tests/bmc/test_bmc.py, read-only Redfish); needs each node's bmc / bmc_user in the inventory and a BMC password (UI: Inventory tab default or Setup node table)</t>
        </is>
      </c>
      <c r="I587" s="21" t="inlineStr">
        <is>
          <t>BMC Redfish (HTTPS) from the test runner</t>
        </is>
      </c>
      <c r="J587" s="21" t="inlineStr">
        <is>
          <t>BMC (Switch + Compute)</t>
        </is>
      </c>
      <c r="K587" s="21" t="inlineStr">
        <is>
          <t>Added - helios-tests (20 Oct 2026)</t>
        </is>
      </c>
      <c r="L587" s="21" t="inlineStr">
        <is>
          <t>Non-disruptive</t>
        </is>
      </c>
    </row>
    <row r="588" ht="32" customHeight="1" s="33">
      <c r="A588" s="7" t="inlineStr">
        <is>
          <t>TC-BMC-005</t>
        </is>
      </c>
      <c r="B588" s="7" t="inlineStr">
        <is>
          <t>L1</t>
        </is>
      </c>
      <c r="C588" s="5" t="inlineStr">
        <is>
          <t>BMC event log: no Critical entry in the last 24 h (thresholds.bmc.log_window_h); Warning entries counted</t>
        </is>
      </c>
      <c r="D588" t="inlineStr">
        <is>
          <t>Yes</t>
        </is>
      </c>
      <c r="E588" t="inlineStr">
        <is>
          <t>no</t>
        </is>
      </c>
      <c r="H588" s="21" t="inlineStr">
        <is>
          <t>Not run yet: added 20 Oct 2026, automated (tests/bmc/test_bmc.py, read-only Redfish); needs each node's bmc / bmc_user in the inventory and a BMC password (UI: Inventory tab default or Setup node table)</t>
        </is>
      </c>
      <c r="I588" s="21" t="inlineStr">
        <is>
          <t>BMC Redfish (HTTPS) from the test runner</t>
        </is>
      </c>
      <c r="J588" s="21" t="inlineStr">
        <is>
          <t>BMC (Switch + Compute)</t>
        </is>
      </c>
      <c r="K588" s="21" t="inlineStr">
        <is>
          <t>Added - helios-tests (20 Oct 2026)</t>
        </is>
      </c>
      <c r="L588" s="21" t="inlineStr">
        <is>
          <t>Non-disruptive</t>
        </is>
      </c>
    </row>
    <row r="589" ht="32" customHeight="1" s="33">
      <c r="A589" s="7" t="inlineStr">
        <is>
          <t>TC-BMC-006</t>
        </is>
      </c>
      <c r="B589" s="7" t="inlineStr">
        <is>
          <t>L2</t>
        </is>
      </c>
      <c r="C589" s="5" t="inlineStr">
        <is>
          <t>BMC firmware consistent: same BMC firmware version on every compute tray, and on every switch tray</t>
        </is>
      </c>
      <c r="D589" t="inlineStr">
        <is>
          <t>Yes</t>
        </is>
      </c>
      <c r="E589" t="inlineStr">
        <is>
          <t>no</t>
        </is>
      </c>
      <c r="H589" s="21" t="inlineStr">
        <is>
          <t>Not run yet: added 20 Oct 2026, automated (tests/bmc/test_bmc.py, read-only Redfish); needs each node's bmc / bmc_user in the inventory and a BMC password (UI: Inventory tab default or Setup node table)</t>
        </is>
      </c>
      <c r="I589" s="21" t="inlineStr">
        <is>
          <t>BMC Redfish (HTTPS) from the test runner</t>
        </is>
      </c>
      <c r="J589" s="21" t="inlineStr">
        <is>
          <t>BMC (Switch + Compute)</t>
        </is>
      </c>
      <c r="K589" s="21" t="inlineStr">
        <is>
          <t>Added - helios-tests (20 Oct 2026)</t>
        </is>
      </c>
      <c r="L589" s="21" t="inlineStr">
        <is>
          <t>Non-disruptive</t>
        </is>
      </c>
    </row>
    <row r="590" ht="32" customHeight="1" s="33">
      <c r="A590" s="7" t="inlineStr">
        <is>
          <t>TC-BLT-7.2.1-1</t>
        </is>
      </c>
      <c r="B590" s="7" t="inlineStr">
        <is>
          <t>L1</t>
        </is>
      </c>
      <c r="C590" s="5" t="inlineStr">
        <is>
          <t>GET Service Root (Tc7.2.1-1, Blanton BMC plan TPI-151974, read-only)</t>
        </is>
      </c>
      <c r="D590" t="inlineStr">
        <is>
          <t>Yes</t>
        </is>
      </c>
      <c r="E590" t="inlineStr">
        <is>
          <t>no</t>
        </is>
      </c>
      <c r="H590" s="21" t="inlineStr">
        <is>
          <t>Not run yet: added 20 Oct 2026 from Juniper TPI-151974 v1.2 (Blanton BMC plan, Tc7.2.1-1); automated read-only in tests/bmc/test_blanton_redfish.py. Needs the switch's bmc / bmc_user in the inventory and its BMC password (UI)</t>
        </is>
      </c>
      <c r="I590" s="21" t="inlineStr">
        <is>
          <t>Switch BMC Redfish (HTTPS)</t>
        </is>
      </c>
      <c r="J590" s="21" t="inlineStr">
        <is>
          <t>BMC (Switch)</t>
        </is>
      </c>
      <c r="K590" s="21" t="inlineStr">
        <is>
          <t>Added - helios-tests (20 Oct 2026)</t>
        </is>
      </c>
      <c r="L590" s="21" t="inlineStr">
        <is>
          <t>Non-disruptive</t>
        </is>
      </c>
    </row>
    <row r="591" ht="32" customHeight="1" s="33">
      <c r="A591" s="7" t="inlineStr">
        <is>
          <t>TC-BLT-7.2.1-2</t>
        </is>
      </c>
      <c r="B591" s="7" t="inlineStr">
        <is>
          <t>L1</t>
        </is>
      </c>
      <c r="C591" s="5" t="inlineStr">
        <is>
          <t>GET OData Service Document (Tc7.2.1-2, Blanton BMC plan TPI-151974, read-only)</t>
        </is>
      </c>
      <c r="D591" t="inlineStr">
        <is>
          <t>Yes</t>
        </is>
      </c>
      <c r="E591" t="inlineStr">
        <is>
          <t>no</t>
        </is>
      </c>
      <c r="H591" s="21" t="inlineStr">
        <is>
          <t>Not run yet: added 20 Oct 2026 from Juniper TPI-151974 v1.2 (Blanton BMC plan, Tc7.2.1-2); automated read-only in tests/bmc/test_blanton_redfish.py. Needs the switch's bmc / bmc_user in the inventory and its BMC password (UI)</t>
        </is>
      </c>
      <c r="I591" s="21" t="inlineStr">
        <is>
          <t>Switch BMC Redfish (HTTPS)</t>
        </is>
      </c>
      <c r="J591" s="21" t="inlineStr">
        <is>
          <t>BMC (Switch)</t>
        </is>
      </c>
      <c r="K591" s="21" t="inlineStr">
        <is>
          <t>Added - helios-tests (20 Oct 2026)</t>
        </is>
      </c>
      <c r="L591" s="21" t="inlineStr">
        <is>
          <t>Non-disruptive</t>
        </is>
      </c>
    </row>
    <row r="592" ht="32" customHeight="1" s="33">
      <c r="A592" s="7" t="inlineStr">
        <is>
          <t>TC-BLT-7.2.1-3</t>
        </is>
      </c>
      <c r="B592" s="7" t="inlineStr">
        <is>
          <t>L1</t>
        </is>
      </c>
      <c r="C592" s="5" t="inlineStr">
        <is>
          <t>GET Schema Metadata ($metadata) (Tc7.2.1-3, Blanton BMC plan TPI-151974, read-only)</t>
        </is>
      </c>
      <c r="D592" t="inlineStr">
        <is>
          <t>Yes</t>
        </is>
      </c>
      <c r="E592" t="inlineStr">
        <is>
          <t>no</t>
        </is>
      </c>
      <c r="H592" s="21" t="inlineStr">
        <is>
          <t>Not run yet: added 20 Oct 2026 from Juniper TPI-151974 v1.2 (Blanton BMC plan, Tc7.2.1-3); automated read-only in tests/bmc/test_blanton_redfish.py. Needs the switch's bmc / bmc_user in the inventory and its BMC password (UI)</t>
        </is>
      </c>
      <c r="I592" s="21" t="inlineStr">
        <is>
          <t>Switch BMC Redfish (HTTPS)</t>
        </is>
      </c>
      <c r="J592" s="21" t="inlineStr">
        <is>
          <t>BMC (Switch)</t>
        </is>
      </c>
      <c r="K592" s="21" t="inlineStr">
        <is>
          <t>Added - helios-tests (20 Oct 2026)</t>
        </is>
      </c>
      <c r="L592" s="21" t="inlineStr">
        <is>
          <t>Non-disruptive</t>
        </is>
      </c>
    </row>
    <row r="593" ht="32" customHeight="1" s="33">
      <c r="A593" s="7" t="inlineStr">
        <is>
          <t>TC-BLT-7.2.2-1</t>
        </is>
      </c>
      <c r="B593" s="7" t="inlineStr">
        <is>
          <t>L1</t>
        </is>
      </c>
      <c r="C593" s="5" t="inlineStr">
        <is>
          <t>List Chassis Collection (Tc7.2.2-1, Blanton BMC plan TPI-151974, read-only)</t>
        </is>
      </c>
      <c r="D593" t="inlineStr">
        <is>
          <t>Yes</t>
        </is>
      </c>
      <c r="E593" t="inlineStr">
        <is>
          <t>no</t>
        </is>
      </c>
      <c r="H593" s="21" t="inlineStr">
        <is>
          <t>Not run yet: added 20 Oct 2026 from Juniper TPI-151974 v1.2 (Blanton BMC plan, Tc7.2.2-1); automated read-only in tests/bmc/test_blanton_redfish.py. Needs the switch's bmc / bmc_user in the inventory and its BMC password (UI)</t>
        </is>
      </c>
      <c r="I593" s="21" t="inlineStr">
        <is>
          <t>Switch BMC Redfish (HTTPS)</t>
        </is>
      </c>
      <c r="J593" s="21" t="inlineStr">
        <is>
          <t>BMC (Switch)</t>
        </is>
      </c>
      <c r="K593" s="21" t="inlineStr">
        <is>
          <t>Added - helios-tests (20 Oct 2026)</t>
        </is>
      </c>
      <c r="L593" s="21" t="inlineStr">
        <is>
          <t>Non-disruptive</t>
        </is>
      </c>
    </row>
    <row r="594" ht="32" customHeight="1" s="33">
      <c r="A594" s="7" t="inlineStr">
        <is>
          <t>TC-BLT-7.2.2-2</t>
        </is>
      </c>
      <c r="B594" s="7" t="inlineStr">
        <is>
          <t>L1</t>
        </is>
      </c>
      <c r="C594" s="5" t="inlineStr">
        <is>
          <t>Get Chassis Detail (Tc7.2.2-2, Blanton BMC plan TPI-151974, read-only)</t>
        </is>
      </c>
      <c r="D594" t="inlineStr">
        <is>
          <t>Yes</t>
        </is>
      </c>
      <c r="E594" t="inlineStr">
        <is>
          <t>no</t>
        </is>
      </c>
      <c r="H594" s="21" t="inlineStr">
        <is>
          <t>Not run yet: added 20 Oct 2026 from Juniper TPI-151974 v1.2 (Blanton BMC plan, Tc7.2.2-2); automated read-only in tests/bmc/test_blanton_redfish.py. Needs the switch's bmc / bmc_user in the inventory and its BMC password (UI)</t>
        </is>
      </c>
      <c r="I594" s="21" t="inlineStr">
        <is>
          <t>Switch BMC Redfish (HTTPS)</t>
        </is>
      </c>
      <c r="J594" s="21" t="inlineStr">
        <is>
          <t>BMC (Switch)</t>
        </is>
      </c>
      <c r="K594" s="21" t="inlineStr">
        <is>
          <t>Added - helios-tests (20 Oct 2026)</t>
        </is>
      </c>
      <c r="L594" s="21" t="inlineStr">
        <is>
          <t>Non-disruptive</t>
        </is>
      </c>
    </row>
    <row r="595" ht="32" customHeight="1" s="33">
      <c r="A595" s="7" t="inlineStr">
        <is>
          <t>TC-BLT-7.2.2-3</t>
        </is>
      </c>
      <c r="B595" s="7" t="inlineStr">
        <is>
          <t>L1</t>
        </is>
      </c>
      <c r="C595" s="5" t="inlineStr">
        <is>
          <t>Get System Detail (Tc7.2.2-3, Blanton BMC plan TPI-151974, read-only)</t>
        </is>
      </c>
      <c r="D595" t="inlineStr">
        <is>
          <t>Yes</t>
        </is>
      </c>
      <c r="E595" t="inlineStr">
        <is>
          <t>no</t>
        </is>
      </c>
      <c r="H595" s="21" t="inlineStr">
        <is>
          <t>Not run yet: added 20 Oct 2026 from Juniper TPI-151974 v1.2 (Blanton BMC plan, Tc7.2.2-3); automated read-only in tests/bmc/test_blanton_redfish.py. Needs the switch's bmc / bmc_user in the inventory and its BMC password (UI)</t>
        </is>
      </c>
      <c r="I595" s="21" t="inlineStr">
        <is>
          <t>Switch BMC Redfish (HTTPS)</t>
        </is>
      </c>
      <c r="J595" s="21" t="inlineStr">
        <is>
          <t>BMC (Switch)</t>
        </is>
      </c>
      <c r="K595" s="21" t="inlineStr">
        <is>
          <t>Added - helios-tests (20 Oct 2026)</t>
        </is>
      </c>
      <c r="L595" s="21" t="inlineStr">
        <is>
          <t>Non-disruptive</t>
        </is>
      </c>
    </row>
    <row r="596" ht="32" customHeight="1" s="33">
      <c r="A596" s="7" t="inlineStr">
        <is>
          <t>TC-BLT-7.2.3-1</t>
        </is>
      </c>
      <c r="B596" s="7" t="inlineStr">
        <is>
          <t>L1</t>
        </is>
      </c>
      <c r="C596" s="5" t="inlineStr">
        <is>
          <t>List All Sensors (Tc7.2.3-1, Blanton BMC plan TPI-151974, read-only)</t>
        </is>
      </c>
      <c r="D596" t="inlineStr">
        <is>
          <t>Yes</t>
        </is>
      </c>
      <c r="E596" t="inlineStr">
        <is>
          <t>no</t>
        </is>
      </c>
      <c r="H596" s="21" t="inlineStr">
        <is>
          <t>Not run yet: added 20 Oct 2026 from Juniper TPI-151974 v1.2 (Blanton BMC plan, Tc7.2.3-1); automated read-only in tests/bmc/test_blanton_redfish.py. Needs the switch's bmc / bmc_user in the inventory and its BMC password (UI)</t>
        </is>
      </c>
      <c r="I596" s="21" t="inlineStr">
        <is>
          <t>Switch BMC Redfish (HTTPS)</t>
        </is>
      </c>
      <c r="J596" s="21" t="inlineStr">
        <is>
          <t>BMC (Switch)</t>
        </is>
      </c>
      <c r="K596" s="21" t="inlineStr">
        <is>
          <t>Added - helios-tests (20 Oct 2026)</t>
        </is>
      </c>
      <c r="L596" s="21" t="inlineStr">
        <is>
          <t>Non-disruptive</t>
        </is>
      </c>
    </row>
    <row r="597" ht="32" customHeight="1" s="33">
      <c r="A597" s="7" t="inlineStr">
        <is>
          <t>TC-BLT-7.2.3-2</t>
        </is>
      </c>
      <c r="B597" s="7" t="inlineStr">
        <is>
          <t>L1</t>
        </is>
      </c>
      <c r="C597" s="5" t="inlineStr">
        <is>
          <t>Get Individual Sensor (LeakDetector_0) (Tc7.2.3-2, Blanton BMC plan TPI-151974, read-only)</t>
        </is>
      </c>
      <c r="D597" t="inlineStr">
        <is>
          <t>Yes</t>
        </is>
      </c>
      <c r="E597" t="inlineStr">
        <is>
          <t>no</t>
        </is>
      </c>
      <c r="H597" s="21" t="inlineStr">
        <is>
          <t>Not run yet: added 20 Oct 2026 from Juniper TPI-151974 v1.2 (Blanton BMC plan, Tc7.2.3-2); automated read-only in tests/bmc/test_blanton_redfish.py. Needs the switch's bmc / bmc_user in the inventory and its BMC password (UI)</t>
        </is>
      </c>
      <c r="I597" s="21" t="inlineStr">
        <is>
          <t>Switch BMC Redfish (HTTPS)</t>
        </is>
      </c>
      <c r="J597" s="21" t="inlineStr">
        <is>
          <t>BMC (Switch)</t>
        </is>
      </c>
      <c r="K597" s="21" t="inlineStr">
        <is>
          <t>Added - helios-tests (20 Oct 2026)</t>
        </is>
      </c>
      <c r="L597" s="21" t="inlineStr">
        <is>
          <t>Non-disruptive</t>
        </is>
      </c>
    </row>
    <row r="598" ht="32" customHeight="1" s="33">
      <c r="A598" s="7" t="inlineStr">
        <is>
          <t>TC-BLT-7.2.3-3</t>
        </is>
      </c>
      <c r="B598" s="7" t="inlineStr">
        <is>
          <t>L1</t>
        </is>
      </c>
      <c r="C598" s="5" t="inlineStr">
        <is>
          <t>Legacy Thermal View (Tc7.2.3-3, Blanton BMC plan TPI-151974, read-only)</t>
        </is>
      </c>
      <c r="D598" t="inlineStr">
        <is>
          <t>Yes</t>
        </is>
      </c>
      <c r="E598" t="inlineStr">
        <is>
          <t>no</t>
        </is>
      </c>
      <c r="H598" s="21" t="inlineStr">
        <is>
          <t>Not run yet: added 20 Oct 2026 from Juniper TPI-151974 v1.2 (Blanton BMC plan, Tc7.2.3-3); automated read-only in tests/bmc/test_blanton_redfish.py. Needs the switch's bmc / bmc_user in the inventory and its BMC password (UI)</t>
        </is>
      </c>
      <c r="I598" s="21" t="inlineStr">
        <is>
          <t>Switch BMC Redfish (HTTPS)</t>
        </is>
      </c>
      <c r="J598" s="21" t="inlineStr">
        <is>
          <t>BMC (Switch)</t>
        </is>
      </c>
      <c r="K598" s="21" t="inlineStr">
        <is>
          <t>Added - helios-tests (20 Oct 2026)</t>
        </is>
      </c>
      <c r="L598" s="21" t="inlineStr">
        <is>
          <t>Non-disruptive</t>
        </is>
      </c>
    </row>
    <row r="599" ht="32" customHeight="1" s="33">
      <c r="A599" s="7" t="inlineStr">
        <is>
          <t>TC-BLT-7.2.4-1</t>
        </is>
      </c>
      <c r="B599" s="7" t="inlineStr">
        <is>
          <t>L1</t>
        </is>
      </c>
      <c r="C599" s="5" t="inlineStr">
        <is>
          <t>LeakDetection Resource (Tc7.2.4-1, Blanton BMC plan TPI-151974, read-only)</t>
        </is>
      </c>
      <c r="D599" t="inlineStr">
        <is>
          <t>Yes</t>
        </is>
      </c>
      <c r="E599" t="inlineStr">
        <is>
          <t>no</t>
        </is>
      </c>
      <c r="H599" s="21" t="inlineStr">
        <is>
          <t>Not run yet: added 20 Oct 2026 from Juniper TPI-151974 v1.2 (Blanton BMC plan, Tc7.2.4-1); automated read-only in tests/bmc/test_blanton_redfish.py. Needs the switch's bmc / bmc_user in the inventory and its BMC password (UI)</t>
        </is>
      </c>
      <c r="I599" s="21" t="inlineStr">
        <is>
          <t>Switch BMC Redfish (HTTPS)</t>
        </is>
      </c>
      <c r="J599" s="21" t="inlineStr">
        <is>
          <t>BMC (Switch)</t>
        </is>
      </c>
      <c r="K599" s="21" t="inlineStr">
        <is>
          <t>Added - helios-tests (20 Oct 2026)</t>
        </is>
      </c>
      <c r="L599" s="21" t="inlineStr">
        <is>
          <t>Non-disruptive</t>
        </is>
      </c>
    </row>
    <row r="600" ht="32" customHeight="1" s="33">
      <c r="A600" s="7" t="inlineStr">
        <is>
          <t>TC-BLT-7.2.4-2</t>
        </is>
      </c>
      <c r="B600" s="7" t="inlineStr">
        <is>
          <t>L1</t>
        </is>
      </c>
      <c r="C600" s="5" t="inlineStr">
        <is>
          <t>List LeakDetectors (Tc7.2.4-2, Blanton BMC plan TPI-151974, read-only)</t>
        </is>
      </c>
      <c r="D600" t="inlineStr">
        <is>
          <t>Yes</t>
        </is>
      </c>
      <c r="E600" t="inlineStr">
        <is>
          <t>no</t>
        </is>
      </c>
      <c r="H600" s="21" t="inlineStr">
        <is>
          <t>Not run yet: added 20 Oct 2026 from Juniper TPI-151974 v1.2 (Blanton BMC plan, Tc7.2.4-2); automated read-only in tests/bmc/test_blanton_redfish.py. Needs the switch's bmc / bmc_user in the inventory and its BMC password (UI)</t>
        </is>
      </c>
      <c r="I600" s="21" t="inlineStr">
        <is>
          <t>Switch BMC Redfish (HTTPS)</t>
        </is>
      </c>
      <c r="J600" s="21" t="inlineStr">
        <is>
          <t>BMC (Switch)</t>
        </is>
      </c>
      <c r="K600" s="21" t="inlineStr">
        <is>
          <t>Added - helios-tests (20 Oct 2026)</t>
        </is>
      </c>
      <c r="L600" s="21" t="inlineStr">
        <is>
          <t>Non-disruptive</t>
        </is>
      </c>
    </row>
    <row r="601" ht="32" customHeight="1" s="33">
      <c r="A601" s="7" t="inlineStr">
        <is>
          <t>TC-BLT-7.2.4-3</t>
        </is>
      </c>
      <c r="B601" s="7" t="inlineStr">
        <is>
          <t>L1</t>
        </is>
      </c>
      <c r="C601" s="5" t="inlineStr">
        <is>
          <t>LeakDetector Detail (Tc7.2.4-3, Blanton BMC plan TPI-151974, read-only)</t>
        </is>
      </c>
      <c r="D601" t="inlineStr">
        <is>
          <t>Yes</t>
        </is>
      </c>
      <c r="E601" t="inlineStr">
        <is>
          <t>no</t>
        </is>
      </c>
      <c r="H601" s="21" t="inlineStr">
        <is>
          <t>Not run yet: added 20 Oct 2026 from Juniper TPI-151974 v1.2 (Blanton BMC plan, Tc7.2.4-3); automated read-only in tests/bmc/test_blanton_redfish.py. Needs the switch's bmc / bmc_user in the inventory and its BMC password (UI)</t>
        </is>
      </c>
      <c r="I601" s="21" t="inlineStr">
        <is>
          <t>Switch BMC Redfish (HTTPS)</t>
        </is>
      </c>
      <c r="J601" s="21" t="inlineStr">
        <is>
          <t>BMC (Switch)</t>
        </is>
      </c>
      <c r="K601" s="21" t="inlineStr">
        <is>
          <t>Added - helios-tests (20 Oct 2026)</t>
        </is>
      </c>
      <c r="L601" s="21" t="inlineStr">
        <is>
          <t>Non-disruptive</t>
        </is>
      </c>
    </row>
    <row r="602" ht="32" customHeight="1" s="33">
      <c r="A602" s="7" t="inlineStr">
        <is>
          <t>TC-BLT-7.2.5-1</t>
        </is>
      </c>
      <c r="B602" s="7" t="inlineStr">
        <is>
          <t>L1</t>
        </is>
      </c>
      <c r="C602" s="5" t="inlineStr">
        <is>
          <t>ThermalSubsystem Overview (Tc7.2.5-1, Blanton BMC plan TPI-151974, read-only)</t>
        </is>
      </c>
      <c r="D602" t="inlineStr">
        <is>
          <t>Yes</t>
        </is>
      </c>
      <c r="E602" t="inlineStr">
        <is>
          <t>no</t>
        </is>
      </c>
      <c r="H602" s="21" t="inlineStr">
        <is>
          <t>Not run yet: added 20 Oct 2026 from Juniper TPI-151974 v1.2 (Blanton BMC plan, Tc7.2.5-1); automated read-only in tests/bmc/test_blanton_redfish.py. Needs the switch's bmc / bmc_user in the inventory and its BMC password (UI)</t>
        </is>
      </c>
      <c r="I602" s="21" t="inlineStr">
        <is>
          <t>Switch BMC Redfish (HTTPS)</t>
        </is>
      </c>
      <c r="J602" s="21" t="inlineStr">
        <is>
          <t>BMC (Switch)</t>
        </is>
      </c>
      <c r="K602" s="21" t="inlineStr">
        <is>
          <t>Added - helios-tests (20 Oct 2026)</t>
        </is>
      </c>
      <c r="L602" s="21" t="inlineStr">
        <is>
          <t>Non-disruptive</t>
        </is>
      </c>
    </row>
    <row r="603" ht="32" customHeight="1" s="33">
      <c r="A603" s="7" t="inlineStr">
        <is>
          <t>TC-BLT-7.2.6-1</t>
        </is>
      </c>
      <c r="B603" s="7" t="inlineStr">
        <is>
          <t>L1</t>
        </is>
      </c>
      <c r="C603" s="5" t="inlineStr">
        <is>
          <t>BMC Detail (Tc7.2.6-1, Blanton BMC plan TPI-151974, read-only)</t>
        </is>
      </c>
      <c r="D603" t="inlineStr">
        <is>
          <t>Yes</t>
        </is>
      </c>
      <c r="E603" t="inlineStr">
        <is>
          <t>no</t>
        </is>
      </c>
      <c r="H603" s="21" t="inlineStr">
        <is>
          <t>Not run yet: added 20 Oct 2026 from Juniper TPI-151974 v1.2 (Blanton BMC plan, Tc7.2.6-1); automated read-only in tests/bmc/test_blanton_redfish.py. Needs the switch's bmc / bmc_user in the inventory and its BMC password (UI)</t>
        </is>
      </c>
      <c r="I603" s="21" t="inlineStr">
        <is>
          <t>Switch BMC Redfish (HTTPS)</t>
        </is>
      </c>
      <c r="J603" s="21" t="inlineStr">
        <is>
          <t>BMC (Switch)</t>
        </is>
      </c>
      <c r="K603" s="21" t="inlineStr">
        <is>
          <t>Added - helios-tests (20 Oct 2026)</t>
        </is>
      </c>
      <c r="L603" s="21" t="inlineStr">
        <is>
          <t>Non-disruptive</t>
        </is>
      </c>
    </row>
    <row r="604" ht="32" customHeight="1" s="33">
      <c r="A604" s="7" t="inlineStr">
        <is>
          <t>TC-BLT-7.2.6-2</t>
        </is>
      </c>
      <c r="B604" s="7" t="inlineStr">
        <is>
          <t>L1</t>
        </is>
      </c>
      <c r="C604" s="5" t="inlineStr">
        <is>
          <t>NetworkProtocol (Tc7.2.6-2, Blanton BMC plan TPI-151974, read-only)</t>
        </is>
      </c>
      <c r="D604" t="inlineStr">
        <is>
          <t>Yes</t>
        </is>
      </c>
      <c r="E604" t="inlineStr">
        <is>
          <t>no</t>
        </is>
      </c>
      <c r="H604" s="21" t="inlineStr">
        <is>
          <t>Not run yet: added 20 Oct 2026 from Juniper TPI-151974 v1.2 (Blanton BMC plan, Tc7.2.6-2); automated read-only in tests/bmc/test_blanton_redfish.py. Needs the switch's bmc / bmc_user in the inventory and its BMC password (UI)</t>
        </is>
      </c>
      <c r="I604" s="21" t="inlineStr">
        <is>
          <t>Switch BMC Redfish (HTTPS)</t>
        </is>
      </c>
      <c r="J604" s="21" t="inlineStr">
        <is>
          <t>BMC (Switch)</t>
        </is>
      </c>
      <c r="K604" s="21" t="inlineStr">
        <is>
          <t>Added - helios-tests (20 Oct 2026)</t>
        </is>
      </c>
      <c r="L604" s="21" t="inlineStr">
        <is>
          <t>Non-disruptive</t>
        </is>
      </c>
    </row>
    <row r="605" ht="32" customHeight="1" s="33">
      <c r="A605" s="7" t="inlineStr">
        <is>
          <t>TC-BLT-7.2.7-1</t>
        </is>
      </c>
      <c r="B605" s="7" t="inlineStr">
        <is>
          <t>L1</t>
        </is>
      </c>
      <c r="C605" s="5" t="inlineStr">
        <is>
          <t>List Users (Tc7.2.7-1, Blanton BMC plan TPI-151974, read-only)</t>
        </is>
      </c>
      <c r="D605" t="inlineStr">
        <is>
          <t>Yes</t>
        </is>
      </c>
      <c r="E605" t="inlineStr">
        <is>
          <t>no</t>
        </is>
      </c>
      <c r="H605" s="21" t="inlineStr">
        <is>
          <t>Not run yet: added 20 Oct 2026 from Juniper TPI-151974 v1.2 (Blanton BMC plan, Tc7.2.7-1); automated read-only in tests/bmc/test_blanton_redfish.py. Needs the switch's bmc / bmc_user in the inventory and its BMC password (UI)</t>
        </is>
      </c>
      <c r="I605" s="21" t="inlineStr">
        <is>
          <t>Switch BMC Redfish (HTTPS)</t>
        </is>
      </c>
      <c r="J605" s="21" t="inlineStr">
        <is>
          <t>BMC (Switch)</t>
        </is>
      </c>
      <c r="K605" s="21" t="inlineStr">
        <is>
          <t>Added - helios-tests (20 Oct 2026)</t>
        </is>
      </c>
      <c r="L605" s="21" t="inlineStr">
        <is>
          <t>Non-disruptive</t>
        </is>
      </c>
    </row>
    <row r="606" ht="32" customHeight="1" s="33">
      <c r="A606" s="7" t="inlineStr">
        <is>
          <t>TC-BLT-7.2.7-7</t>
        </is>
      </c>
      <c r="B606" s="7" t="inlineStr">
        <is>
          <t>L1</t>
        </is>
      </c>
      <c r="C606" s="5" t="inlineStr">
        <is>
          <t>List Roles (Tc7.2.7-7, Blanton BMC plan TPI-151974, read-only)</t>
        </is>
      </c>
      <c r="D606" t="inlineStr">
        <is>
          <t>Yes</t>
        </is>
      </c>
      <c r="E606" t="inlineStr">
        <is>
          <t>no</t>
        </is>
      </c>
      <c r="H606" s="21" t="inlineStr">
        <is>
          <t>Not run yet: added 20 Oct 2026 from Juniper TPI-151974 v1.2 (Blanton BMC plan, Tc7.2.7-7); automated read-only in tests/bmc/test_blanton_redfish.py. Needs the switch's bmc / bmc_user in the inventory and its BMC password (UI)</t>
        </is>
      </c>
      <c r="I606" s="21" t="inlineStr">
        <is>
          <t>Switch BMC Redfish (HTTPS)</t>
        </is>
      </c>
      <c r="J606" s="21" t="inlineStr">
        <is>
          <t>BMC (Switch)</t>
        </is>
      </c>
      <c r="K606" s="21" t="inlineStr">
        <is>
          <t>Added - helios-tests (20 Oct 2026)</t>
        </is>
      </c>
      <c r="L606" s="21" t="inlineStr">
        <is>
          <t>Non-disruptive</t>
        </is>
      </c>
    </row>
    <row r="607" ht="32" customHeight="1" s="33">
      <c r="A607" s="7" t="inlineStr">
        <is>
          <t>TC-BLT-7.2.8-3</t>
        </is>
      </c>
      <c r="B607" s="7" t="inlineStr">
        <is>
          <t>L1</t>
        </is>
      </c>
      <c r="C607" s="5" t="inlineStr">
        <is>
          <t>List Sessions (Tc7.2.8-3, Blanton BMC plan TPI-151974, read-only)</t>
        </is>
      </c>
      <c r="D607" t="inlineStr">
        <is>
          <t>Yes</t>
        </is>
      </c>
      <c r="E607" t="inlineStr">
        <is>
          <t>no</t>
        </is>
      </c>
      <c r="H607" s="21" t="inlineStr">
        <is>
          <t>Not run yet: added 20 Oct 2026 from Juniper TPI-151974 v1.2 (Blanton BMC plan, Tc7.2.8-3); automated read-only in tests/bmc/test_blanton_redfish.py. Needs the switch's bmc / bmc_user in the inventory and its BMC password (UI)</t>
        </is>
      </c>
      <c r="I607" s="21" t="inlineStr">
        <is>
          <t>Switch BMC Redfish (HTTPS)</t>
        </is>
      </c>
      <c r="J607" s="21" t="inlineStr">
        <is>
          <t>BMC (Switch)</t>
        </is>
      </c>
      <c r="K607" s="21" t="inlineStr">
        <is>
          <t>Added - helios-tests (20 Oct 2026)</t>
        </is>
      </c>
      <c r="L607" s="21" t="inlineStr">
        <is>
          <t>Non-disruptive</t>
        </is>
      </c>
    </row>
    <row r="608" ht="32" customHeight="1" s="33">
      <c r="A608" s="7" t="inlineStr">
        <is>
          <t>TC-BLT-7.2.9-1</t>
        </is>
      </c>
      <c r="B608" s="7" t="inlineStr">
        <is>
          <t>L1</t>
        </is>
      </c>
      <c r="C608" s="5" t="inlineStr">
        <is>
          <t>EventService Status (Tc7.2.9-1, Blanton BMC plan TPI-151974, read-only)</t>
        </is>
      </c>
      <c r="D608" t="inlineStr">
        <is>
          <t>Yes</t>
        </is>
      </c>
      <c r="E608" t="inlineStr">
        <is>
          <t>no</t>
        </is>
      </c>
      <c r="H608" s="21" t="inlineStr">
        <is>
          <t>Not run yet: added 20 Oct 2026 from Juniper TPI-151974 v1.2 (Blanton BMC plan, Tc7.2.9-1); automated read-only in tests/bmc/test_blanton_redfish.py. Needs the switch's bmc / bmc_user in the inventory and its BMC password (UI)</t>
        </is>
      </c>
      <c r="I608" s="21" t="inlineStr">
        <is>
          <t>Switch BMC Redfish (HTTPS)</t>
        </is>
      </c>
      <c r="J608" s="21" t="inlineStr">
        <is>
          <t>BMC (Switch)</t>
        </is>
      </c>
      <c r="K608" s="21" t="inlineStr">
        <is>
          <t>Added - helios-tests (20 Oct 2026)</t>
        </is>
      </c>
      <c r="L608" s="21" t="inlineStr">
        <is>
          <t>Non-disruptive</t>
        </is>
      </c>
    </row>
    <row r="609" ht="32" customHeight="1" s="33">
      <c r="A609" s="7" t="inlineStr">
        <is>
          <t>TC-BLT-7.2.9-14</t>
        </is>
      </c>
      <c r="B609" s="7" t="inlineStr">
        <is>
          <t>L1</t>
        </is>
      </c>
      <c r="C609" s="5" t="inlineStr">
        <is>
          <t>Verify Chassis and Sensor URIs (Native Local - No Rewriting) (Tc7.2.9-14, Blanton BMC plan TPI-151974, read-only)</t>
        </is>
      </c>
      <c r="D609" t="inlineStr">
        <is>
          <t>Yes</t>
        </is>
      </c>
      <c r="E609" t="inlineStr">
        <is>
          <t>no</t>
        </is>
      </c>
      <c r="H609" s="21" t="inlineStr">
        <is>
          <t>Not run yet: added 20 Oct 2026 from Juniper TPI-151974 v1.2 (Blanton BMC plan, Tc7.2.9-14); automated read-only in tests/bmc/test_blanton_redfish.py. Needs the switch's bmc / bmc_user in the inventory and its BMC password (UI)</t>
        </is>
      </c>
      <c r="I609" s="21" t="inlineStr">
        <is>
          <t>Switch BMC Redfish (HTTPS)</t>
        </is>
      </c>
      <c r="J609" s="21" t="inlineStr">
        <is>
          <t>BMC (Switch)</t>
        </is>
      </c>
      <c r="K609" s="21" t="inlineStr">
        <is>
          <t>Added - helios-tests (20 Oct 2026)</t>
        </is>
      </c>
      <c r="L609" s="21" t="inlineStr">
        <is>
          <t>Non-disruptive</t>
        </is>
      </c>
    </row>
    <row r="610" ht="32" customHeight="1" s="33">
      <c r="A610" s="7" t="inlineStr">
        <is>
          <t>TC-BLT-7.2.9-18</t>
        </is>
      </c>
      <c r="B610" s="7" t="inlineStr">
        <is>
          <t>L1</t>
        </is>
      </c>
      <c r="C610" s="5" t="inlineStr">
        <is>
          <t>Check Switch Manager / BMC Info (Tc7.2.9-18, Blanton BMC plan TPI-151974, read-only)</t>
        </is>
      </c>
      <c r="D610" t="inlineStr">
        <is>
          <t>Yes</t>
        </is>
      </c>
      <c r="E610" t="inlineStr">
        <is>
          <t>no</t>
        </is>
      </c>
      <c r="H610" s="21" t="inlineStr">
        <is>
          <t>Not run yet: added 20 Oct 2026 from Juniper TPI-151974 v1.2 (Blanton BMC plan, Tc7.2.9-18); automated read-only in tests/bmc/test_blanton_redfish.py. Needs the switch's bmc / bmc_user in the inventory and its BMC password (UI)</t>
        </is>
      </c>
      <c r="I610" s="21" t="inlineStr">
        <is>
          <t>Switch BMC Redfish (HTTPS)</t>
        </is>
      </c>
      <c r="J610" s="21" t="inlineStr">
        <is>
          <t>BMC (Switch)</t>
        </is>
      </c>
      <c r="K610" s="21" t="inlineStr">
        <is>
          <t>Added - helios-tests (20 Oct 2026)</t>
        </is>
      </c>
      <c r="L610" s="21" t="inlineStr">
        <is>
          <t>Non-disruptive</t>
        </is>
      </c>
    </row>
    <row r="611" ht="32" customHeight="1" s="33">
      <c r="A611" s="7" t="inlineStr">
        <is>
          <t>TC-BLT-7.2.10-1</t>
        </is>
      </c>
      <c r="B611" s="7" t="inlineStr">
        <is>
          <t>L1</t>
        </is>
      </c>
      <c r="C611" s="5" t="inlineStr">
        <is>
          <t>LogService Accessible on Switch BMC (Tc7.2.10-1, Blanton BMC plan TPI-151974, read-only)</t>
        </is>
      </c>
      <c r="D611" t="inlineStr">
        <is>
          <t>Yes</t>
        </is>
      </c>
      <c r="E611" t="inlineStr">
        <is>
          <t>no</t>
        </is>
      </c>
      <c r="H611" s="21" t="inlineStr">
        <is>
          <t>Not run yet: added 20 Oct 2026 from Juniper TPI-151974 v1.2 (Blanton BMC plan, Tc7.2.10-1); automated read-only in tests/bmc/test_blanton_redfish.py. Needs the switch's bmc / bmc_user in the inventory and its BMC password (UI)</t>
        </is>
      </c>
      <c r="I611" s="21" t="inlineStr">
        <is>
          <t>Switch BMC Redfish (HTTPS)</t>
        </is>
      </c>
      <c r="J611" s="21" t="inlineStr">
        <is>
          <t>BMC (Switch)</t>
        </is>
      </c>
      <c r="K611" s="21" t="inlineStr">
        <is>
          <t>Added - helios-tests (20 Oct 2026)</t>
        </is>
      </c>
      <c r="L611" s="21" t="inlineStr">
        <is>
          <t>Non-disruptive</t>
        </is>
      </c>
    </row>
    <row r="612" ht="32" customHeight="1" s="33">
      <c r="A612" s="7" t="inlineStr">
        <is>
          <t>TC-BLT-7.2.10-13</t>
        </is>
      </c>
      <c r="B612" s="7" t="inlineStr">
        <is>
          <t>L1</t>
        </is>
      </c>
      <c r="C612" s="5" t="inlineStr">
        <is>
          <t>MaxNumberOfRecords = 10,000 (Tc7.2.10-13, Blanton BMC plan TPI-151974, read-only)</t>
        </is>
      </c>
      <c r="D612" t="inlineStr">
        <is>
          <t>Yes</t>
        </is>
      </c>
      <c r="E612" t="inlineStr">
        <is>
          <t>no</t>
        </is>
      </c>
      <c r="H612" s="21" t="inlineStr">
        <is>
          <t>Not run yet: added 20 Oct 2026 from Juniper TPI-151974 v1.2 (Blanton BMC plan, Tc7.2.10-13); automated read-only in tests/bmc/test_blanton_redfish.py. Needs the switch's bmc / bmc_user in the inventory and its BMC password (UI)</t>
        </is>
      </c>
      <c r="I612" s="21" t="inlineStr">
        <is>
          <t>Switch BMC Redfish (HTTPS)</t>
        </is>
      </c>
      <c r="J612" s="21" t="inlineStr">
        <is>
          <t>BMC (Switch)</t>
        </is>
      </c>
      <c r="K612" s="21" t="inlineStr">
        <is>
          <t>Added - helios-tests (20 Oct 2026)</t>
        </is>
      </c>
      <c r="L612" s="21" t="inlineStr">
        <is>
          <t>Non-disruptive</t>
        </is>
      </c>
    </row>
    <row r="613" ht="32" customHeight="1" s="33">
      <c r="A613" s="7" t="inlineStr">
        <is>
          <t>TC-BLT-7.2.10-14</t>
        </is>
      </c>
      <c r="B613" s="7" t="inlineStr">
        <is>
          <t>L1</t>
        </is>
      </c>
      <c r="C613" s="5" t="inlineStr">
        <is>
          <t>OverWritePolicy = "WrapsWhenFull" (Tc7.2.10-14, Blanton BMC plan TPI-151974, read-only)</t>
        </is>
      </c>
      <c r="D613" t="inlineStr">
        <is>
          <t>Yes</t>
        </is>
      </c>
      <c r="E613" t="inlineStr">
        <is>
          <t>no</t>
        </is>
      </c>
      <c r="H613" s="21" t="inlineStr">
        <is>
          <t>Not run yet: added 20 Oct 2026 from Juniper TPI-151974 v1.2 (Blanton BMC plan, Tc7.2.10-14); automated read-only in tests/bmc/test_blanton_redfish.py. Needs the switch's bmc / bmc_user in the inventory and its BMC password (UI)</t>
        </is>
      </c>
      <c r="I613" s="21" t="inlineStr">
        <is>
          <t>Switch BMC Redfish (HTTPS)</t>
        </is>
      </c>
      <c r="J613" s="21" t="inlineStr">
        <is>
          <t>BMC (Switch)</t>
        </is>
      </c>
      <c r="K613" s="21" t="inlineStr">
        <is>
          <t>Added - helios-tests (20 Oct 2026)</t>
        </is>
      </c>
      <c r="L613" s="21" t="inlineStr">
        <is>
          <t>Non-disruptive</t>
        </is>
      </c>
    </row>
    <row r="614" ht="32" customHeight="1" s="33">
      <c r="A614" s="7" t="inlineStr">
        <is>
          <t>TC-BLT-7.2.10-15</t>
        </is>
      </c>
      <c r="B614" s="7" t="inlineStr">
        <is>
          <t>L1</t>
        </is>
      </c>
      <c r="C614" s="5" t="inlineStr">
        <is>
          <t>ClearLog Action Supported (Tc7.2.10-15, Blanton BMC plan TPI-151974, read-only)</t>
        </is>
      </c>
      <c r="D614" t="inlineStr">
        <is>
          <t>Yes</t>
        </is>
      </c>
      <c r="E614" t="inlineStr">
        <is>
          <t>no</t>
        </is>
      </c>
      <c r="H614" s="21" t="inlineStr">
        <is>
          <t>Not run yet: added 20 Oct 2026 from Juniper TPI-151974 v1.2 (Blanton BMC plan, Tc7.2.10-15); automated read-only in tests/bmc/test_blanton_redfish.py. Needs the switch's bmc / bmc_user in the inventory and its BMC password (UI)</t>
        </is>
      </c>
      <c r="I614" s="21" t="inlineStr">
        <is>
          <t>Switch BMC Redfish (HTTPS)</t>
        </is>
      </c>
      <c r="J614" s="21" t="inlineStr">
        <is>
          <t>BMC (Switch)</t>
        </is>
      </c>
      <c r="K614" s="21" t="inlineStr">
        <is>
          <t>Added - helios-tests (20 Oct 2026)</t>
        </is>
      </c>
      <c r="L614" s="21" t="inlineStr">
        <is>
          <t>Non-disruptive</t>
        </is>
      </c>
    </row>
    <row r="615" ht="32" customHeight="1" s="33">
      <c r="A615" s="7" t="inlineStr">
        <is>
          <t>TC-BLT-7.2.10-18</t>
        </is>
      </c>
      <c r="B615" s="7" t="inlineStr">
        <is>
          <t>L1</t>
        </is>
      </c>
      <c r="C615" s="5" t="inlineStr">
        <is>
          <t>All Three Table 37 Parameters Present Together (Tc7.2.10-18, Blanton BMC plan TPI-151974, read-only)</t>
        </is>
      </c>
      <c r="D615" t="inlineStr">
        <is>
          <t>Yes</t>
        </is>
      </c>
      <c r="E615" t="inlineStr">
        <is>
          <t>no</t>
        </is>
      </c>
      <c r="H615" s="21" t="inlineStr">
        <is>
          <t>Not run yet: added 20 Oct 2026 from Juniper TPI-151974 v1.2 (Blanton BMC plan, Tc7.2.10-18); automated read-only in tests/bmc/test_blanton_redfish.py. Needs the switch's bmc / bmc_user in the inventory and its BMC password (UI)</t>
        </is>
      </c>
      <c r="I615" s="21" t="inlineStr">
        <is>
          <t>Switch BMC Redfish (HTTPS)</t>
        </is>
      </c>
      <c r="J615" s="21" t="inlineStr">
        <is>
          <t>BMC (Switch)</t>
        </is>
      </c>
      <c r="K615" s="21" t="inlineStr">
        <is>
          <t>Added - helios-tests (20 Oct 2026)</t>
        </is>
      </c>
      <c r="L615" s="21" t="inlineStr">
        <is>
          <t>Non-disruptive</t>
        </is>
      </c>
    </row>
    <row r="616" ht="32" customHeight="1" s="33">
      <c r="A616" s="7" t="inlineStr">
        <is>
          <t>TC-BLT-7.2.11-1</t>
        </is>
      </c>
      <c r="B616" s="7" t="inlineStr">
        <is>
          <t>L1</t>
        </is>
      </c>
      <c r="C616" s="5" t="inlineStr">
        <is>
          <t>UpdateService Overview (Tc7.2.11-1, Blanton BMC plan TPI-151974, read-only)</t>
        </is>
      </c>
      <c r="D616" t="inlineStr">
        <is>
          <t>Yes</t>
        </is>
      </c>
      <c r="E616" t="inlineStr">
        <is>
          <t>no</t>
        </is>
      </c>
      <c r="H616" s="21" t="inlineStr">
        <is>
          <t>Not run yet: added 20 Oct 2026 from Juniper TPI-151974 v1.2 (Blanton BMC plan, Tc7.2.11-1); automated read-only in tests/bmc/test_blanton_redfish.py. Needs the switch's bmc / bmc_user in the inventory and its BMC password (UI)</t>
        </is>
      </c>
      <c r="I616" s="21" t="inlineStr">
        <is>
          <t>Switch BMC Redfish (HTTPS)</t>
        </is>
      </c>
      <c r="J616" s="21" t="inlineStr">
        <is>
          <t>BMC (Switch)</t>
        </is>
      </c>
      <c r="K616" s="21" t="inlineStr">
        <is>
          <t>Added - helios-tests (20 Oct 2026)</t>
        </is>
      </c>
      <c r="L616" s="21" t="inlineStr">
        <is>
          <t>Non-disruptive</t>
        </is>
      </c>
    </row>
    <row r="617" ht="32" customHeight="1" s="33">
      <c r="A617" s="7" t="inlineStr">
        <is>
          <t>TC-BLT-7.2.11-2</t>
        </is>
      </c>
      <c r="B617" s="7" t="inlineStr">
        <is>
          <t>L1</t>
        </is>
      </c>
      <c r="C617" s="5" t="inlineStr">
        <is>
          <t>Firmware Inventory (Tc7.2.11-2, Blanton BMC plan TPI-151974, read-only)</t>
        </is>
      </c>
      <c r="D617" t="inlineStr">
        <is>
          <t>Yes</t>
        </is>
      </c>
      <c r="E617" t="inlineStr">
        <is>
          <t>no</t>
        </is>
      </c>
      <c r="H617" s="21" t="inlineStr">
        <is>
          <t>Not run yet: added 20 Oct 2026 from Juniper TPI-151974 v1.2 (Blanton BMC plan, Tc7.2.11-2); automated read-only in tests/bmc/test_blanton_redfish.py. Needs the switch's bmc / bmc_user in the inventory and its BMC password (UI)</t>
        </is>
      </c>
      <c r="I617" s="21" t="inlineStr">
        <is>
          <t>Switch BMC Redfish (HTTPS)</t>
        </is>
      </c>
      <c r="J617" s="21" t="inlineStr">
        <is>
          <t>BMC (Switch)</t>
        </is>
      </c>
      <c r="K617" s="21" t="inlineStr">
        <is>
          <t>Added - helios-tests (20 Oct 2026)</t>
        </is>
      </c>
      <c r="L617" s="21" t="inlineStr">
        <is>
          <t>Non-disruptive</t>
        </is>
      </c>
    </row>
    <row r="618" ht="32" customHeight="1" s="33">
      <c r="A618" s="7" t="inlineStr">
        <is>
          <t>TC-BLT-7.4-1</t>
        </is>
      </c>
      <c r="B618" s="7" t="inlineStr">
        <is>
          <t>L1</t>
        </is>
      </c>
      <c r="C618" s="5" t="inlineStr">
        <is>
          <t>GET UpdateService - Configuration (Tc7.4-1, Blanton BMC plan TPI-151974, read-only)</t>
        </is>
      </c>
      <c r="D618" t="inlineStr">
        <is>
          <t>Yes</t>
        </is>
      </c>
      <c r="E618" t="inlineStr">
        <is>
          <t>no</t>
        </is>
      </c>
      <c r="H618" s="21" t="inlineStr">
        <is>
          <t>Not run yet: added 20 Oct 2026 from Juniper TPI-151974 v1.2 (Blanton BMC plan, Tc7.4-1); automated read-only in tests/bmc/test_blanton_redfish.py. Needs the switch's bmc / bmc_user in the inventory and its BMC password (UI)</t>
        </is>
      </c>
      <c r="I618" s="21" t="inlineStr">
        <is>
          <t>Switch BMC Redfish (HTTPS)</t>
        </is>
      </c>
      <c r="J618" s="21" t="inlineStr">
        <is>
          <t>BMC (Switch)</t>
        </is>
      </c>
      <c r="K618" s="21" t="inlineStr">
        <is>
          <t>Added - helios-tests (20 Oct 2026)</t>
        </is>
      </c>
      <c r="L618" s="21" t="inlineStr">
        <is>
          <t>Non-disruptive</t>
        </is>
      </c>
    </row>
    <row r="619" ht="32" customHeight="1" s="33">
      <c r="A619" s="7" t="inlineStr">
        <is>
          <t>TC-BLT-7.4-2</t>
        </is>
      </c>
      <c r="B619" s="7" t="inlineStr">
        <is>
          <t>L1</t>
        </is>
      </c>
      <c r="C619" s="5" t="inlineStr">
        <is>
          <t>GET FirmwareInventory - Switch Collection (Tc7.4-2, Blanton BMC plan TPI-151974, read-only)</t>
        </is>
      </c>
      <c r="D619" t="inlineStr">
        <is>
          <t>Yes</t>
        </is>
      </c>
      <c r="E619" t="inlineStr">
        <is>
          <t>no</t>
        </is>
      </c>
      <c r="H619" s="21" t="inlineStr">
        <is>
          <t>Not run yet: added 20 Oct 2026 from Juniper TPI-151974 v1.2 (Blanton BMC plan, Tc7.4-2); automated read-only in tests/bmc/test_blanton_redfish.py. Needs the switch's bmc / bmc_user in the inventory and its BMC password (UI)</t>
        </is>
      </c>
      <c r="I619" s="21" t="inlineStr">
        <is>
          <t>Switch BMC Redfish (HTTPS)</t>
        </is>
      </c>
      <c r="J619" s="21" t="inlineStr">
        <is>
          <t>BMC (Switch)</t>
        </is>
      </c>
      <c r="K619" s="21" t="inlineStr">
        <is>
          <t>Added - helios-tests (20 Oct 2026)</t>
        </is>
      </c>
      <c r="L619" s="21" t="inlineStr">
        <is>
          <t>Non-disruptive</t>
        </is>
      </c>
    </row>
    <row r="620" ht="32" customHeight="1" s="33">
      <c r="A620" s="7" t="inlineStr">
        <is>
          <t>TC-BLT-7.4-6</t>
        </is>
      </c>
      <c r="B620" s="7" t="inlineStr">
        <is>
          <t>L1</t>
        </is>
      </c>
      <c r="C620" s="5" t="inlineStr">
        <is>
          <t>GET FirmwareInventory/{id} - Individual Entry (Tc7.4-6, Blanton BMC plan TPI-151974, read-only)</t>
        </is>
      </c>
      <c r="D620" t="inlineStr">
        <is>
          <t>Yes</t>
        </is>
      </c>
      <c r="E620" t="inlineStr">
        <is>
          <t>no</t>
        </is>
      </c>
      <c r="H620" s="21" t="inlineStr">
        <is>
          <t>Not run yet: added 20 Oct 2026 from Juniper TPI-151974 v1.2 (Blanton BMC plan, Tc7.4-6); automated read-only in tests/bmc/test_blanton_redfish.py. Needs the switch's bmc / bmc_user in the inventory and its BMC password (UI)</t>
        </is>
      </c>
      <c r="I620" s="21" t="inlineStr">
        <is>
          <t>Switch BMC Redfish (HTTPS)</t>
        </is>
      </c>
      <c r="J620" s="21" t="inlineStr">
        <is>
          <t>BMC (Switch)</t>
        </is>
      </c>
      <c r="K620" s="21" t="inlineStr">
        <is>
          <t>Added - helios-tests (20 Oct 2026)</t>
        </is>
      </c>
      <c r="L620" s="21" t="inlineStr">
        <is>
          <t>Non-disruptive</t>
        </is>
      </c>
    </row>
    <row r="621" ht="32" customHeight="1" s="33">
      <c r="A621" s="7" t="inlineStr">
        <is>
          <t>TC-BLT-7.4-7</t>
        </is>
      </c>
      <c r="B621" s="7" t="inlineStr">
        <is>
          <t>L1</t>
        </is>
      </c>
      <c r="C621" s="5" t="inlineStr">
        <is>
          <t>Verify Switch Firmware Component IDs (Tc7.4-7, Blanton BMC plan TPI-151974, read-only)</t>
        </is>
      </c>
      <c r="D621" t="inlineStr">
        <is>
          <t>Yes</t>
        </is>
      </c>
      <c r="E621" t="inlineStr">
        <is>
          <t>no</t>
        </is>
      </c>
      <c r="H621" s="21" t="inlineStr">
        <is>
          <t>Not run yet: added 20 Oct 2026 from Juniper TPI-151974 v1.2 (Blanton BMC plan, Tc7.4-7); automated read-only in tests/bmc/test_blanton_redfish.py. Needs the switch's bmc / bmc_user in the inventory and its BMC password (UI)</t>
        </is>
      </c>
      <c r="I621" s="21" t="inlineStr">
        <is>
          <t>Switch BMC Redfish (HTTPS)</t>
        </is>
      </c>
      <c r="J621" s="21" t="inlineStr">
        <is>
          <t>BMC (Switch)</t>
        </is>
      </c>
      <c r="K621" s="21" t="inlineStr">
        <is>
          <t>Added - helios-tests (20 Oct 2026)</t>
        </is>
      </c>
      <c r="L621" s="21" t="inlineStr">
        <is>
          <t>Non-disruptive</t>
        </is>
      </c>
    </row>
    <row r="622" ht="32" customHeight="1" s="33">
      <c r="A622" s="7" t="inlineStr">
        <is>
          <t>TC-BLT-7.4-8</t>
        </is>
      </c>
      <c r="B622" s="7" t="inlineStr">
        <is>
          <t>L1</t>
        </is>
      </c>
      <c r="C622" s="5" t="inlineStr">
        <is>
          <t>Verify All Entries Accessible (Tc7.4-8, Blanton BMC plan TPI-151974, read-only)</t>
        </is>
      </c>
      <c r="D622" t="inlineStr">
        <is>
          <t>Yes</t>
        </is>
      </c>
      <c r="E622" t="inlineStr">
        <is>
          <t>no</t>
        </is>
      </c>
      <c r="H622" s="21" t="inlineStr">
        <is>
          <t>Not run yet: added 20 Oct 2026 from Juniper TPI-151974 v1.2 (Blanton BMC plan, Tc7.4-8); automated read-only in tests/bmc/test_blanton_redfish.py. Needs the switch's bmc / bmc_user in the inventory and its BMC password (UI)</t>
        </is>
      </c>
      <c r="I622" s="21" t="inlineStr">
        <is>
          <t>Switch BMC Redfish (HTTPS)</t>
        </is>
      </c>
      <c r="J622" s="21" t="inlineStr">
        <is>
          <t>BMC (Switch)</t>
        </is>
      </c>
      <c r="K622" s="21" t="inlineStr">
        <is>
          <t>Added - helios-tests (20 Oct 2026)</t>
        </is>
      </c>
      <c r="L622" s="21" t="inlineStr">
        <is>
          <t>Non-disruptive</t>
        </is>
      </c>
    </row>
    <row r="623" ht="32" customHeight="1" s="33">
      <c r="A623" s="7" t="inlineStr">
        <is>
          <t>TC-BLT-7.4-11</t>
        </is>
      </c>
      <c r="B623" s="7" t="inlineStr">
        <is>
          <t>L1</t>
        </is>
      </c>
      <c r="C623" s="5" t="inlineStr">
        <is>
          <t>Verify Switch BMC Firmware Entry (Tc7.4-11, Blanton BMC plan TPI-151974, read-only)</t>
        </is>
      </c>
      <c r="D623" t="inlineStr">
        <is>
          <t>Yes</t>
        </is>
      </c>
      <c r="E623" t="inlineStr">
        <is>
          <t>no</t>
        </is>
      </c>
      <c r="H623" s="21" t="inlineStr">
        <is>
          <t>Not run yet: added 20 Oct 2026 from Juniper TPI-151974 v1.2 (Blanton BMC plan, Tc7.4-11); automated read-only in tests/bmc/test_blanton_redfish.py. Needs the switch's bmc / bmc_user in the inventory and its BMC password (UI)</t>
        </is>
      </c>
      <c r="I623" s="21" t="inlineStr">
        <is>
          <t>Switch BMC Redfish (HTTPS)</t>
        </is>
      </c>
      <c r="J623" s="21" t="inlineStr">
        <is>
          <t>BMC (Switch)</t>
        </is>
      </c>
      <c r="K623" s="21" t="inlineStr">
        <is>
          <t>Added - helios-tests (20 Oct 2026)</t>
        </is>
      </c>
      <c r="L623" s="21" t="inlineStr">
        <is>
          <t>Non-disruptive</t>
        </is>
      </c>
    </row>
    <row r="624" ht="32" customHeight="1" s="33">
      <c r="A624" s="7" t="inlineStr">
        <is>
          <t>TC-BLT-7.2.12-1</t>
        </is>
      </c>
      <c r="B624" s="7" t="inlineStr">
        <is>
          <t>L1</t>
        </is>
      </c>
      <c r="C624" s="5" t="inlineStr">
        <is>
          <t>List Ethernet Interfaces (Tc7.2.12-1, Blanton BMC plan TPI-151974, read-only)</t>
        </is>
      </c>
      <c r="D624" t="inlineStr">
        <is>
          <t>Yes</t>
        </is>
      </c>
      <c r="E624" t="inlineStr">
        <is>
          <t>no</t>
        </is>
      </c>
      <c r="H624" s="21" t="inlineStr">
        <is>
          <t>Not run yet: added 20 Oct 2026 from Juniper TPI-151974 v1.2 (Blanton BMC plan, Tc7.2.12-1); automated read-only in tests/bmc/test_blanton_redfish.py. Needs the switch's bmc / bmc_user in the inventory and its BMC password (UI)</t>
        </is>
      </c>
      <c r="I624" s="21" t="inlineStr">
        <is>
          <t>Switch BMC Redfish (HTTPS)</t>
        </is>
      </c>
      <c r="J624" s="21" t="inlineStr">
        <is>
          <t>BMC (Switch)</t>
        </is>
      </c>
      <c r="K624" s="21" t="inlineStr">
        <is>
          <t>Added - helios-tests (20 Oct 2026)</t>
        </is>
      </c>
      <c r="L624" s="21" t="inlineStr">
        <is>
          <t>Non-disruptive</t>
        </is>
      </c>
    </row>
    <row r="625" ht="32" customHeight="1" s="33">
      <c r="A625" s="7" t="inlineStr">
        <is>
          <t>TC-BLT-7.2.12-2</t>
        </is>
      </c>
      <c r="B625" s="7" t="inlineStr">
        <is>
          <t>L1</t>
        </is>
      </c>
      <c r="C625" s="5" t="inlineStr">
        <is>
          <t>Get eth0 Details (Tc7.2.12-2, Blanton BMC plan TPI-151974, read-only)</t>
        </is>
      </c>
      <c r="D625" t="inlineStr">
        <is>
          <t>Yes</t>
        </is>
      </c>
      <c r="E625" t="inlineStr">
        <is>
          <t>no</t>
        </is>
      </c>
      <c r="H625" s="21" t="inlineStr">
        <is>
          <t>Not run yet: added 20 Oct 2026 from Juniper TPI-151974 v1.2 (Blanton BMC plan, Tc7.2.12-2); automated read-only in tests/bmc/test_blanton_redfish.py. Needs the switch's bmc / bmc_user in the inventory and its BMC password (UI)</t>
        </is>
      </c>
      <c r="I625" s="21" t="inlineStr">
        <is>
          <t>Switch BMC Redfish (HTTPS)</t>
        </is>
      </c>
      <c r="J625" s="21" t="inlineStr">
        <is>
          <t>BMC (Switch)</t>
        </is>
      </c>
      <c r="K625" s="21" t="inlineStr">
        <is>
          <t>Added - helios-tests (20 Oct 2026)</t>
        </is>
      </c>
      <c r="L625" s="21" t="inlineStr">
        <is>
          <t>Non-disruptive</t>
        </is>
      </c>
    </row>
    <row r="626" ht="32" customHeight="1" s="33">
      <c r="A626" s="7" t="inlineStr">
        <is>
          <t>TC-BLT-7.2.13-1</t>
        </is>
      </c>
      <c r="B626" s="7" t="inlineStr">
        <is>
          <t>L1</t>
        </is>
      </c>
      <c r="C626" s="5" t="inlineStr">
        <is>
          <t>CertificateService Root (Tc7.2.13-1, Blanton BMC plan TPI-151974, read-only)</t>
        </is>
      </c>
      <c r="D626" t="inlineStr">
        <is>
          <t>Yes</t>
        </is>
      </c>
      <c r="E626" t="inlineStr">
        <is>
          <t>no</t>
        </is>
      </c>
      <c r="H626" s="21" t="inlineStr">
        <is>
          <t>Not run yet: added 20 Oct 2026 from Juniper TPI-151974 v1.2 (Blanton BMC plan, Tc7.2.13-1); automated read-only in tests/bmc/test_blanton_redfish.py. Needs the switch's bmc / bmc_user in the inventory and its BMC password (UI)</t>
        </is>
      </c>
      <c r="I626" s="21" t="inlineStr">
        <is>
          <t>Switch BMC Redfish (HTTPS)</t>
        </is>
      </c>
      <c r="J626" s="21" t="inlineStr">
        <is>
          <t>BMC (Switch)</t>
        </is>
      </c>
      <c r="K626" s="21" t="inlineStr">
        <is>
          <t>Added - helios-tests (20 Oct 2026)</t>
        </is>
      </c>
      <c r="L626" s="21" t="inlineStr">
        <is>
          <t>Non-disruptive</t>
        </is>
      </c>
    </row>
    <row r="627" ht="32" customHeight="1" s="33">
      <c r="A627" s="7" t="inlineStr">
        <is>
          <t>TC-BLT-7.2.13-2</t>
        </is>
      </c>
      <c r="B627" s="7" t="inlineStr">
        <is>
          <t>L1</t>
        </is>
      </c>
      <c r="C627" s="5" t="inlineStr">
        <is>
          <t>HTTPS Certificates (Tc7.2.13-2, Blanton BMC plan TPI-151974, read-only)</t>
        </is>
      </c>
      <c r="D627" t="inlineStr">
        <is>
          <t>Yes</t>
        </is>
      </c>
      <c r="E627" t="inlineStr">
        <is>
          <t>no</t>
        </is>
      </c>
      <c r="H627" s="21" t="inlineStr">
        <is>
          <t>Not run yet: added 20 Oct 2026 from Juniper TPI-151974 v1.2 (Blanton BMC plan, Tc7.2.13-2); automated read-only in tests/bmc/test_blanton_redfish.py. Needs the switch's bmc / bmc_user in the inventory and its BMC password (UI)</t>
        </is>
      </c>
      <c r="I627" s="21" t="inlineStr">
        <is>
          <t>Switch BMC Redfish (HTTPS)</t>
        </is>
      </c>
      <c r="J627" s="21" t="inlineStr">
        <is>
          <t>BMC (Switch)</t>
        </is>
      </c>
      <c r="K627" s="21" t="inlineStr">
        <is>
          <t>Added - helios-tests (20 Oct 2026)</t>
        </is>
      </c>
      <c r="L627" s="21" t="inlineStr">
        <is>
          <t>Non-disruptive</t>
        </is>
      </c>
    </row>
    <row r="628" ht="32" customHeight="1" s="33">
      <c r="A628" s="7" t="inlineStr">
        <is>
          <t>TC-BLT-7.2.13-3</t>
        </is>
      </c>
      <c r="B628" s="7" t="inlineStr">
        <is>
          <t>L1</t>
        </is>
      </c>
      <c r="C628" s="5" t="inlineStr">
        <is>
          <t>GET Individual Certificate - Active TLS Certificate (Tc7.2.13-3, Blanton BMC plan TPI-151974, read-only)</t>
        </is>
      </c>
      <c r="D628" t="inlineStr">
        <is>
          <t>Yes</t>
        </is>
      </c>
      <c r="E628" t="inlineStr">
        <is>
          <t>no</t>
        </is>
      </c>
      <c r="H628" s="21" t="inlineStr">
        <is>
          <t>Not run yet: added 20 Oct 2026 from Juniper TPI-151974 v1.2 (Blanton BMC plan, Tc7.2.13-3); automated read-only in tests/bmc/test_blanton_redfish.py. Needs the switch's bmc / bmc_user in the inventory and its BMC password (UI)</t>
        </is>
      </c>
      <c r="I628" s="21" t="inlineStr">
        <is>
          <t>Switch BMC Redfish (HTTPS)</t>
        </is>
      </c>
      <c r="J628" s="21" t="inlineStr">
        <is>
          <t>BMC (Switch)</t>
        </is>
      </c>
      <c r="K628" s="21" t="inlineStr">
        <is>
          <t>Added - helios-tests (20 Oct 2026)</t>
        </is>
      </c>
      <c r="L628" s="21" t="inlineStr">
        <is>
          <t>Non-disruptive</t>
        </is>
      </c>
    </row>
    <row r="629" ht="32" customHeight="1" s="33">
      <c r="A629" s="7" t="inlineStr">
        <is>
          <t>TC-BLT-7.2.13-6</t>
        </is>
      </c>
      <c r="B629" s="7" t="inlineStr">
        <is>
          <t>L1</t>
        </is>
      </c>
      <c r="C629" s="5" t="inlineStr">
        <is>
          <t>Verify ReplaceCertificate Action Target URI Format (Tc7.2.13-6, Blanton BMC plan TPI-151974, read-only)</t>
        </is>
      </c>
      <c r="D629" t="inlineStr">
        <is>
          <t>Yes</t>
        </is>
      </c>
      <c r="E629" t="inlineStr">
        <is>
          <t>no</t>
        </is>
      </c>
      <c r="H629" s="21" t="inlineStr">
        <is>
          <t>Not run yet: added 20 Oct 2026 from Juniper TPI-151974 v1.2 (Blanton BMC plan, Tc7.2.13-6); automated read-only in tests/bmc/test_blanton_redfish.py. Needs the switch's bmc / bmc_user in the inventory and its BMC password (UI)</t>
        </is>
      </c>
      <c r="I629" s="21" t="inlineStr">
        <is>
          <t>Switch BMC Redfish (HTTPS)</t>
        </is>
      </c>
      <c r="J629" s="21" t="inlineStr">
        <is>
          <t>BMC (Switch)</t>
        </is>
      </c>
      <c r="K629" s="21" t="inlineStr">
        <is>
          <t>Added - helios-tests (20 Oct 2026)</t>
        </is>
      </c>
      <c r="L629" s="21" t="inlineStr">
        <is>
          <t>Non-disruptive</t>
        </is>
      </c>
    </row>
    <row r="630" ht="32" customHeight="1" s="33">
      <c r="A630" s="7" t="inlineStr">
        <is>
          <t>TC-BLT-7.2.13-7</t>
        </is>
      </c>
      <c r="B630" s="7" t="inlineStr">
        <is>
          <t>L1</t>
        </is>
      </c>
      <c r="C630" s="5" t="inlineStr">
        <is>
          <t>Verify Certificate Validity Period (Tc7.2.13-7, Blanton BMC plan TPI-151974, read-only)</t>
        </is>
      </c>
      <c r="D630" t="inlineStr">
        <is>
          <t>Yes</t>
        </is>
      </c>
      <c r="E630" t="inlineStr">
        <is>
          <t>no</t>
        </is>
      </c>
      <c r="H630" s="21" t="inlineStr">
        <is>
          <t>Not run yet: added 20 Oct 2026 from Juniper TPI-151974 v1.2 (Blanton BMC plan, Tc7.2.13-7); automated read-only in tests/bmc/test_blanton_redfish.py. Needs the switch's bmc / bmc_user in the inventory and its BMC password (UI)</t>
        </is>
      </c>
      <c r="I630" s="21" t="inlineStr">
        <is>
          <t>Switch BMC Redfish (HTTPS)</t>
        </is>
      </c>
      <c r="J630" s="21" t="inlineStr">
        <is>
          <t>BMC (Switch)</t>
        </is>
      </c>
      <c r="K630" s="21" t="inlineStr">
        <is>
          <t>Added - helios-tests (20 Oct 2026)</t>
        </is>
      </c>
      <c r="L630" s="21" t="inlineStr">
        <is>
          <t>Non-disruptive</t>
        </is>
      </c>
    </row>
    <row r="631" ht="32" customHeight="1" s="33">
      <c r="A631" s="7" t="inlineStr">
        <is>
          <t>TC-BLT-7.2.14-1</t>
        </is>
      </c>
      <c r="B631" s="7" t="inlineStr">
        <is>
          <t>L1</t>
        </is>
      </c>
      <c r="C631" s="5" t="inlineStr">
        <is>
          <t>GET TaskService - Configuration (Tc7.2.14-1, Blanton BMC plan TPI-151974, read-only)</t>
        </is>
      </c>
      <c r="D631" t="inlineStr">
        <is>
          <t>Yes</t>
        </is>
      </c>
      <c r="E631" t="inlineStr">
        <is>
          <t>no</t>
        </is>
      </c>
      <c r="H631" s="21" t="inlineStr">
        <is>
          <t>Not run yet: added 20 Oct 2026 from Juniper TPI-151974 v1.2 (Blanton BMC plan, Tc7.2.14-1); automated read-only in tests/bmc/test_blanton_redfish.py. Needs the switch's bmc / bmc_user in the inventory and its BMC password (UI)</t>
        </is>
      </c>
      <c r="I631" s="21" t="inlineStr">
        <is>
          <t>Switch BMC Redfish (HTTPS)</t>
        </is>
      </c>
      <c r="J631" s="21" t="inlineStr">
        <is>
          <t>BMC (Switch)</t>
        </is>
      </c>
      <c r="K631" s="21" t="inlineStr">
        <is>
          <t>Added - helios-tests (20 Oct 2026)</t>
        </is>
      </c>
      <c r="L631" s="21" t="inlineStr">
        <is>
          <t>Non-disruptive</t>
        </is>
      </c>
    </row>
    <row r="632" ht="32" customHeight="1" s="33">
      <c r="A632" s="7" t="inlineStr">
        <is>
          <t>TC-BLT-7.2.14-2</t>
        </is>
      </c>
      <c r="B632" s="7" t="inlineStr">
        <is>
          <t>L1</t>
        </is>
      </c>
      <c r="C632" s="5" t="inlineStr">
        <is>
          <t>GET Tasks Collection (Tc7.2.14-2, Blanton BMC plan TPI-151974, read-only)</t>
        </is>
      </c>
      <c r="D632" t="inlineStr">
        <is>
          <t>Yes</t>
        </is>
      </c>
      <c r="E632" t="inlineStr">
        <is>
          <t>no</t>
        </is>
      </c>
      <c r="H632" s="21" t="inlineStr">
        <is>
          <t>Not run yet: added 20 Oct 2026 from Juniper TPI-151974 v1.2 (Blanton BMC plan, Tc7.2.14-2); automated read-only in tests/bmc/test_blanton_redfish.py. Needs the switch's bmc / bmc_user in the inventory and its BMC password (UI)</t>
        </is>
      </c>
      <c r="I632" s="21" t="inlineStr">
        <is>
          <t>Switch BMC Redfish (HTTPS)</t>
        </is>
      </c>
      <c r="J632" s="21" t="inlineStr">
        <is>
          <t>BMC (Switch)</t>
        </is>
      </c>
      <c r="K632" s="21" t="inlineStr">
        <is>
          <t>Added - helios-tests (20 Oct 2026)</t>
        </is>
      </c>
      <c r="L632" s="21" t="inlineStr">
        <is>
          <t>Non-disruptive</t>
        </is>
      </c>
    </row>
    <row r="633" ht="32" customHeight="1" s="33">
      <c r="A633" s="7" t="inlineStr">
        <is>
          <t>TC-BLT-7.2.14-3</t>
        </is>
      </c>
      <c r="B633" s="7" t="inlineStr">
        <is>
          <t>L1</t>
        </is>
      </c>
      <c r="C633" s="5" t="inlineStr">
        <is>
          <t>GET Individual Task - Required Fields (Tc7.2.14-3, Blanton BMC plan TPI-151974, read-only)</t>
        </is>
      </c>
      <c r="D633" t="inlineStr">
        <is>
          <t>Yes</t>
        </is>
      </c>
      <c r="E633" t="inlineStr">
        <is>
          <t>no</t>
        </is>
      </c>
      <c r="H633" s="21" t="inlineStr">
        <is>
          <t>Not run yet: added 20 Oct 2026 from Juniper TPI-151974 v1.2 (Blanton BMC plan, Tc7.2.14-3); automated read-only in tests/bmc/test_blanton_redfish.py. Needs the switch's bmc / bmc_user in the inventory and its BMC password (UI)</t>
        </is>
      </c>
      <c r="I633" s="21" t="inlineStr">
        <is>
          <t>Switch BMC Redfish (HTTPS)</t>
        </is>
      </c>
      <c r="J633" s="21" t="inlineStr">
        <is>
          <t>BMC (Switch)</t>
        </is>
      </c>
      <c r="K633" s="21" t="inlineStr">
        <is>
          <t>Added - helios-tests (20 Oct 2026)</t>
        </is>
      </c>
      <c r="L633" s="21" t="inlineStr">
        <is>
          <t>Non-disruptive</t>
        </is>
      </c>
    </row>
    <row r="634" ht="32" customHeight="1" s="33">
      <c r="A634" s="7" t="inlineStr">
        <is>
          <t>TC-BLT-7.2.14-6</t>
        </is>
      </c>
      <c r="B634" s="7" t="inlineStr">
        <is>
          <t>L1</t>
        </is>
      </c>
      <c r="C634" s="5" t="inlineStr">
        <is>
          <t>Task StartTime and EndTime Fields (Tc7.2.14-6, Blanton BMC plan TPI-151974, read-only)</t>
        </is>
      </c>
      <c r="D634" t="inlineStr">
        <is>
          <t>Yes</t>
        </is>
      </c>
      <c r="E634" t="inlineStr">
        <is>
          <t>no</t>
        </is>
      </c>
      <c r="H634" s="21" t="inlineStr">
        <is>
          <t>Not run yet: added 20 Oct 2026 from Juniper TPI-151974 v1.2 (Blanton BMC plan, Tc7.2.14-6); automated read-only in tests/bmc/test_blanton_redfish.py. Needs the switch's bmc / bmc_user in the inventory and its BMC password (UI)</t>
        </is>
      </c>
      <c r="I634" s="21" t="inlineStr">
        <is>
          <t>Switch BMC Redfish (HTTPS)</t>
        </is>
      </c>
      <c r="J634" s="21" t="inlineStr">
        <is>
          <t>BMC (Switch)</t>
        </is>
      </c>
      <c r="K634" s="21" t="inlineStr">
        <is>
          <t>Added - helios-tests (20 Oct 2026)</t>
        </is>
      </c>
      <c r="L634" s="21" t="inlineStr">
        <is>
          <t>Non-disruptive</t>
        </is>
      </c>
    </row>
    <row r="635" ht="32" customHeight="1" s="33">
      <c r="A635" s="7" t="inlineStr">
        <is>
          <t>TC-BLT-7.2.14-8</t>
        </is>
      </c>
      <c r="B635" s="7" t="inlineStr">
        <is>
          <t>L1</t>
        </is>
      </c>
      <c r="C635" s="5" t="inlineStr">
        <is>
          <t>Task Messages Array Content (Tc7.2.14-8, Blanton BMC plan TPI-151974, read-only)</t>
        </is>
      </c>
      <c r="D635" t="inlineStr">
        <is>
          <t>Yes</t>
        </is>
      </c>
      <c r="E635" t="inlineStr">
        <is>
          <t>no</t>
        </is>
      </c>
      <c r="H635" s="21" t="inlineStr">
        <is>
          <t>Not run yet: added 20 Oct 2026 from Juniper TPI-151974 v1.2 (Blanton BMC plan, Tc7.2.14-8); automated read-only in tests/bmc/test_blanton_redfish.py. Needs the switch's bmc / bmc_user in the inventory and its BMC password (UI)</t>
        </is>
      </c>
      <c r="I635" s="21" t="inlineStr">
        <is>
          <t>Switch BMC Redfish (HTTPS)</t>
        </is>
      </c>
      <c r="J635" s="21" t="inlineStr">
        <is>
          <t>BMC (Switch)</t>
        </is>
      </c>
      <c r="K635" s="21" t="inlineStr">
        <is>
          <t>Added - helios-tests (20 Oct 2026)</t>
        </is>
      </c>
      <c r="L635" s="21" t="inlineStr">
        <is>
          <t>Non-disruptive</t>
        </is>
      </c>
    </row>
    <row r="636" ht="32" customHeight="1" s="33">
      <c r="A636" s="7" t="inlineStr">
        <is>
          <t>TC-BLT-7.2.14-9</t>
        </is>
      </c>
      <c r="B636" s="7" t="inlineStr">
        <is>
          <t>L1</t>
        </is>
      </c>
      <c r="C636" s="5" t="inlineStr">
        <is>
          <t>GET TelemetryService - Configuration (Tc7.2.14-9, Blanton BMC plan TPI-151974, read-only)</t>
        </is>
      </c>
      <c r="D636" t="inlineStr">
        <is>
          <t>Yes</t>
        </is>
      </c>
      <c r="E636" t="inlineStr">
        <is>
          <t>no</t>
        </is>
      </c>
      <c r="H636" s="21" t="inlineStr">
        <is>
          <t>Not run yet: added 20 Oct 2026 from Juniper TPI-151974 v1.2 (Blanton BMC plan, Tc7.2.14-9); automated read-only in tests/bmc/test_blanton_redfish.py. Needs the switch's bmc / bmc_user in the inventory and its BMC password (UI)</t>
        </is>
      </c>
      <c r="I636" s="21" t="inlineStr">
        <is>
          <t>Switch BMC Redfish (HTTPS)</t>
        </is>
      </c>
      <c r="J636" s="21" t="inlineStr">
        <is>
          <t>BMC (Switch)</t>
        </is>
      </c>
      <c r="K636" s="21" t="inlineStr">
        <is>
          <t>Added - helios-tests (20 Oct 2026)</t>
        </is>
      </c>
      <c r="L636" s="21" t="inlineStr">
        <is>
          <t>Non-disruptive</t>
        </is>
      </c>
    </row>
    <row r="637" ht="32" customHeight="1" s="33">
      <c r="A637" s="7" t="inlineStr">
        <is>
          <t>TC-BLT-7.2.14-11</t>
        </is>
      </c>
      <c r="B637" s="7" t="inlineStr">
        <is>
          <t>L1</t>
        </is>
      </c>
      <c r="C637" s="5" t="inlineStr">
        <is>
          <t>GET MetricDefinitions - Collection (Tc7.2.14-11, Blanton BMC plan TPI-151974, read-only)</t>
        </is>
      </c>
      <c r="D637" t="inlineStr">
        <is>
          <t>Yes</t>
        </is>
      </c>
      <c r="E637" t="inlineStr">
        <is>
          <t>no</t>
        </is>
      </c>
      <c r="H637" s="21" t="inlineStr">
        <is>
          <t>Not run yet: added 20 Oct 2026 from Juniper TPI-151974 v1.2 (Blanton BMC plan, Tc7.2.14-11); automated read-only in tests/bmc/test_blanton_redfish.py. Needs the switch's bmc / bmc_user in the inventory and its BMC password (UI)</t>
        </is>
      </c>
      <c r="I637" s="21" t="inlineStr">
        <is>
          <t>Switch BMC Redfish (HTTPS)</t>
        </is>
      </c>
      <c r="J637" s="21" t="inlineStr">
        <is>
          <t>BMC (Switch)</t>
        </is>
      </c>
      <c r="K637" s="21" t="inlineStr">
        <is>
          <t>Added - helios-tests (20 Oct 2026)</t>
        </is>
      </c>
      <c r="L637" s="21" t="inlineStr">
        <is>
          <t>Non-disruptive</t>
        </is>
      </c>
    </row>
    <row r="638" ht="32" customHeight="1" s="33">
      <c r="A638" s="7" t="inlineStr">
        <is>
          <t>TC-BLT-7.2.14-12</t>
        </is>
      </c>
      <c r="B638" s="7" t="inlineStr">
        <is>
          <t>L1</t>
        </is>
      </c>
      <c r="C638" s="5" t="inlineStr">
        <is>
          <t>GET MetricDefinitions/{id} - Individual Definition (Tc7.2.14-12, Blanton BMC plan TPI-151974, read-only)</t>
        </is>
      </c>
      <c r="D638" t="inlineStr">
        <is>
          <t>Yes</t>
        </is>
      </c>
      <c r="E638" t="inlineStr">
        <is>
          <t>no</t>
        </is>
      </c>
      <c r="H638" s="21" t="inlineStr">
        <is>
          <t>Not run yet: added 20 Oct 2026 from Juniper TPI-151974 v1.2 (Blanton BMC plan, Tc7.2.14-12); automated read-only in tests/bmc/test_blanton_redfish.py. Needs the switch's bmc / bmc_user in the inventory and its BMC password (UI)</t>
        </is>
      </c>
      <c r="I638" s="21" t="inlineStr">
        <is>
          <t>Switch BMC Redfish (HTTPS)</t>
        </is>
      </c>
      <c r="J638" s="21" t="inlineStr">
        <is>
          <t>BMC (Switch)</t>
        </is>
      </c>
      <c r="K638" s="21" t="inlineStr">
        <is>
          <t>Added - helios-tests (20 Oct 2026)</t>
        </is>
      </c>
      <c r="L638" s="21" t="inlineStr">
        <is>
          <t>Non-disruptive</t>
        </is>
      </c>
    </row>
    <row r="639" ht="32" customHeight="1" s="33">
      <c r="A639" s="7" t="inlineStr">
        <is>
          <t>TC-BLT-7.2.14-13</t>
        </is>
      </c>
      <c r="B639" s="7" t="inlineStr">
        <is>
          <t>L1</t>
        </is>
      </c>
      <c r="C639" s="5" t="inlineStr">
        <is>
          <t>GET MetricReportDefinitions - Collection (Tc7.2.14-13, Blanton BMC plan TPI-151974, read-only)</t>
        </is>
      </c>
      <c r="D639" t="inlineStr">
        <is>
          <t>Yes</t>
        </is>
      </c>
      <c r="E639" t="inlineStr">
        <is>
          <t>no</t>
        </is>
      </c>
      <c r="H639" s="21" t="inlineStr">
        <is>
          <t>Not run yet: added 20 Oct 2026 from Juniper TPI-151974 v1.2 (Blanton BMC plan, Tc7.2.14-13); automated read-only in tests/bmc/test_blanton_redfish.py. Needs the switch's bmc / bmc_user in the inventory and its BMC password (UI)</t>
        </is>
      </c>
      <c r="I639" s="21" t="inlineStr">
        <is>
          <t>Switch BMC Redfish (HTTPS)</t>
        </is>
      </c>
      <c r="J639" s="21" t="inlineStr">
        <is>
          <t>BMC (Switch)</t>
        </is>
      </c>
      <c r="K639" s="21" t="inlineStr">
        <is>
          <t>Added - helios-tests (20 Oct 2026)</t>
        </is>
      </c>
      <c r="L639" s="21" t="inlineStr">
        <is>
          <t>Non-disruptive</t>
        </is>
      </c>
    </row>
    <row r="640" ht="32" customHeight="1" s="33">
      <c r="A640" s="7" t="inlineStr">
        <is>
          <t>TC-BLT-7.2.14-16</t>
        </is>
      </c>
      <c r="B640" s="7" t="inlineStr">
        <is>
          <t>L1</t>
        </is>
      </c>
      <c r="C640" s="5" t="inlineStr">
        <is>
          <t>GET MetricReports - Collection (Tc7.2.14-16, Blanton BMC plan TPI-151974, read-only)</t>
        </is>
      </c>
      <c r="D640" t="inlineStr">
        <is>
          <t>Yes</t>
        </is>
      </c>
      <c r="E640" t="inlineStr">
        <is>
          <t>no</t>
        </is>
      </c>
      <c r="H640" s="21" t="inlineStr">
        <is>
          <t>Not run yet: added 20 Oct 2026 from Juniper TPI-151974 v1.2 (Blanton BMC plan, Tc7.2.14-16); automated read-only in tests/bmc/test_blanton_redfish.py. Needs the switch's bmc / bmc_user in the inventory and its BMC password (UI)</t>
        </is>
      </c>
      <c r="I640" s="21" t="inlineStr">
        <is>
          <t>Switch BMC Redfish (HTTPS)</t>
        </is>
      </c>
      <c r="J640" s="21" t="inlineStr">
        <is>
          <t>BMC (Switch)</t>
        </is>
      </c>
      <c r="K640" s="21" t="inlineStr">
        <is>
          <t>Added - helios-tests (20 Oct 2026)</t>
        </is>
      </c>
      <c r="L640" s="21" t="inlineStr">
        <is>
          <t>Non-disruptive</t>
        </is>
      </c>
    </row>
    <row r="641" ht="32" customHeight="1" s="33">
      <c r="A641" s="7" t="inlineStr">
        <is>
          <t>TC-BLT-7.2.14-17</t>
        </is>
      </c>
      <c r="B641" s="7" t="inlineStr">
        <is>
          <t>L1</t>
        </is>
      </c>
      <c r="C641" s="5" t="inlineStr">
        <is>
          <t>GET MetricReports/{id} - Individual Report (Tc7.2.14-17, Blanton BMC plan TPI-151974, read-only)</t>
        </is>
      </c>
      <c r="D641" t="inlineStr">
        <is>
          <t>Yes</t>
        </is>
      </c>
      <c r="E641" t="inlineStr">
        <is>
          <t>no</t>
        </is>
      </c>
      <c r="H641" s="21" t="inlineStr">
        <is>
          <t>Not run yet: added 20 Oct 2026 from Juniper TPI-151974 v1.2 (Blanton BMC plan, Tc7.2.14-17); automated read-only in tests/bmc/test_blanton_redfish.py. Needs the switch's bmc / bmc_user in the inventory and its BMC password (UI)</t>
        </is>
      </c>
      <c r="I641" s="21" t="inlineStr">
        <is>
          <t>Switch BMC Redfish (HTTPS)</t>
        </is>
      </c>
      <c r="J641" s="21" t="inlineStr">
        <is>
          <t>BMC (Switch)</t>
        </is>
      </c>
      <c r="K641" s="21" t="inlineStr">
        <is>
          <t>Added - helios-tests (20 Oct 2026)</t>
        </is>
      </c>
      <c r="L641" s="21" t="inlineStr">
        <is>
          <t>Non-disruptive</t>
        </is>
      </c>
    </row>
    <row r="642" ht="32" customHeight="1" s="33">
      <c r="A642" s="7" t="inlineStr">
        <is>
          <t>TC-BLT-7.2.14-19</t>
        </is>
      </c>
      <c r="B642" s="7" t="inlineStr">
        <is>
          <t>L1</t>
        </is>
      </c>
      <c r="C642" s="5" t="inlineStr">
        <is>
          <t>TelemetryService Structure Verified (Tc7.2.14-19, Blanton BMC plan TPI-151974, read-only)</t>
        </is>
      </c>
      <c r="D642" t="inlineStr">
        <is>
          <t>Yes</t>
        </is>
      </c>
      <c r="E642" t="inlineStr">
        <is>
          <t>no</t>
        </is>
      </c>
      <c r="H642" s="21" t="inlineStr">
        <is>
          <t>Not run yet: added 20 Oct 2026 from Juniper TPI-151974 v1.2 (Blanton BMC plan, Tc7.2.14-19); automated read-only in tests/bmc/test_blanton_redfish.py. Needs the switch's bmc / bmc_user in the inventory and its BMC password (UI)</t>
        </is>
      </c>
      <c r="I642" s="21" t="inlineStr">
        <is>
          <t>Switch BMC Redfish (HTTPS)</t>
        </is>
      </c>
      <c r="J642" s="21" t="inlineStr">
        <is>
          <t>BMC (Switch)</t>
        </is>
      </c>
      <c r="K642" s="21" t="inlineStr">
        <is>
          <t>Added - helios-tests (20 Oct 2026)</t>
        </is>
      </c>
      <c r="L642" s="21" t="inlineStr">
        <is>
          <t>Non-disruptive</t>
        </is>
      </c>
    </row>
    <row r="643" ht="32" customHeight="1" s="33">
      <c r="A643" s="7" t="inlineStr">
        <is>
          <t>TC-BLT-7.2.14-20</t>
        </is>
      </c>
      <c r="B643" s="7" t="inlineStr">
        <is>
          <t>L1</t>
        </is>
      </c>
      <c r="C643" s="5" t="inlineStr">
        <is>
          <t>MetricDefinitions Auto-Populated (Tc7.2.14-20, Blanton BMC plan TPI-151974, read-only)</t>
        </is>
      </c>
      <c r="D643" t="inlineStr">
        <is>
          <t>Yes</t>
        </is>
      </c>
      <c r="E643" t="inlineStr">
        <is>
          <t>no</t>
        </is>
      </c>
      <c r="H643" s="21" t="inlineStr">
        <is>
          <t>Not run yet: added 20 Oct 2026 from Juniper TPI-151974 v1.2 (Blanton BMC plan, Tc7.2.14-20); automated read-only in tests/bmc/test_blanton_redfish.py. Needs the switch's bmc / bmc_user in the inventory and its BMC password (UI)</t>
        </is>
      </c>
      <c r="I643" s="21" t="inlineStr">
        <is>
          <t>Switch BMC Redfish (HTTPS)</t>
        </is>
      </c>
      <c r="J643" s="21" t="inlineStr">
        <is>
          <t>BMC (Switch)</t>
        </is>
      </c>
      <c r="K643" s="21" t="inlineStr">
        <is>
          <t>Added - helios-tests (20 Oct 2026)</t>
        </is>
      </c>
      <c r="L643" s="21" t="inlineStr">
        <is>
          <t>Non-disruptive</t>
        </is>
      </c>
    </row>
    <row r="644" ht="32" customHeight="1" s="33">
      <c r="A644" s="7" t="inlineStr">
        <is>
          <t>TC-BLT-7.2.14-21</t>
        </is>
      </c>
      <c r="B644" s="7" t="inlineStr">
        <is>
          <t>L1</t>
        </is>
      </c>
      <c r="C644" s="5" t="inlineStr">
        <is>
          <t>Deduplication Keys Present (Tc7.2.14-21, Blanton BMC plan TPI-151974, read-only)</t>
        </is>
      </c>
      <c r="D644" t="inlineStr">
        <is>
          <t>Yes</t>
        </is>
      </c>
      <c r="E644" t="inlineStr">
        <is>
          <t>no</t>
        </is>
      </c>
      <c r="H644" s="21" t="inlineStr">
        <is>
          <t>Not run yet: added 20 Oct 2026 from Juniper TPI-151974 v1.2 (Blanton BMC plan, Tc7.2.14-21); automated read-only in tests/bmc/test_blanton_redfish.py. Needs the switch's bmc / bmc_user in the inventory and its BMC password (UI)</t>
        </is>
      </c>
      <c r="I644" s="21" t="inlineStr">
        <is>
          <t>Switch BMC Redfish (HTTPS)</t>
        </is>
      </c>
      <c r="J644" s="21" t="inlineStr">
        <is>
          <t>BMC (Switch)</t>
        </is>
      </c>
      <c r="K644" s="21" t="inlineStr">
        <is>
          <t>Added - helios-tests (20 Oct 2026)</t>
        </is>
      </c>
      <c r="L644" s="21" t="inlineStr">
        <is>
          <t>Non-disruptive</t>
        </is>
      </c>
    </row>
    <row r="645" ht="32" customHeight="1" s="33">
      <c r="A645" s="7" t="inlineStr">
        <is>
          <t>TC-BLT-7.2.14-22</t>
        </is>
      </c>
      <c r="B645" s="7" t="inlineStr">
        <is>
          <t>L1</t>
        </is>
      </c>
      <c r="C645" s="5" t="inlineStr">
        <is>
          <t>MetricProperties Lists Switch Sensor URIs (Tc7.2.14-22, Blanton BMC plan TPI-151974, read-only)</t>
        </is>
      </c>
      <c r="D645" t="inlineStr">
        <is>
          <t>Yes</t>
        </is>
      </c>
      <c r="E645" t="inlineStr">
        <is>
          <t>no</t>
        </is>
      </c>
      <c r="H645" s="21" t="inlineStr">
        <is>
          <t>Not run yet: added 20 Oct 2026 from Juniper TPI-151974 v1.2 (Blanton BMC plan, Tc7.2.14-22); automated read-only in tests/bmc/test_blanton_redfish.py. Needs the switch's bmc / bmc_user in the inventory and its BMC password (UI)</t>
        </is>
      </c>
      <c r="I645" s="21" t="inlineStr">
        <is>
          <t>Switch BMC Redfish (HTTPS)</t>
        </is>
      </c>
      <c r="J645" s="21" t="inlineStr">
        <is>
          <t>BMC (Switch)</t>
        </is>
      </c>
      <c r="K645" s="21" t="inlineStr">
        <is>
          <t>Added - helios-tests (20 Oct 2026)</t>
        </is>
      </c>
      <c r="L645" s="21" t="inlineStr">
        <is>
          <t>Non-disruptive</t>
        </is>
      </c>
    </row>
    <row r="646" ht="32" customHeight="1" s="33">
      <c r="A646" s="7" t="inlineStr">
        <is>
          <t>TC-BLT-7.2.14-23</t>
        </is>
      </c>
      <c r="B646" s="7" t="inlineStr">
        <is>
          <t>L1</t>
        </is>
      </c>
      <c r="C646" s="5" t="inlineStr">
        <is>
          <t>Client Workflow - Browse (Tc7.2.14-23, Blanton BMC plan TPI-151974, read-only)</t>
        </is>
      </c>
      <c r="D646" t="inlineStr">
        <is>
          <t>Yes</t>
        </is>
      </c>
      <c r="E646" t="inlineStr">
        <is>
          <t>no</t>
        </is>
      </c>
      <c r="H646" s="21" t="inlineStr">
        <is>
          <t>Not run yet: added 20 Oct 2026 from Juniper TPI-151974 v1.2 (Blanton BMC plan, Tc7.2.14-23); automated read-only in tests/bmc/test_blanton_redfish.py. Needs the switch's bmc / bmc_user in the inventory and its BMC password (UI)</t>
        </is>
      </c>
      <c r="I646" s="21" t="inlineStr">
        <is>
          <t>Switch BMC Redfish (HTTPS)</t>
        </is>
      </c>
      <c r="J646" s="21" t="inlineStr">
        <is>
          <t>BMC (Switch)</t>
        </is>
      </c>
      <c r="K646" s="21" t="inlineStr">
        <is>
          <t>Added - helios-tests (20 Oct 2026)</t>
        </is>
      </c>
      <c r="L646" s="21" t="inlineStr">
        <is>
          <t>Non-disruptive</t>
        </is>
      </c>
    </row>
    <row r="647" ht="32" customHeight="1" s="33">
      <c r="A647" s="7" t="inlineStr">
        <is>
          <t>TC-BLT-7.5.9-4</t>
        </is>
      </c>
      <c r="B647" s="7" t="inlineStr">
        <is>
          <t>L1</t>
        </is>
      </c>
      <c r="C647" s="5" t="inlineStr">
        <is>
          <t>TelemetryService Structure Verified (Tc7.5.9-4, Blanton BMC plan TPI-151974, read-only)</t>
        </is>
      </c>
      <c r="D647" t="inlineStr">
        <is>
          <t>Yes</t>
        </is>
      </c>
      <c r="E647" t="inlineStr">
        <is>
          <t>no</t>
        </is>
      </c>
      <c r="H647" s="21" t="inlineStr">
        <is>
          <t>Not run yet: added 20 Oct 2026 from Juniper TPI-151974 v1.2 (Blanton BMC plan, Tc7.5.9-4); automated read-only in tests/bmc/test_blanton_redfish.py. Needs the switch's bmc / bmc_user in the inventory and its BMC password (UI)</t>
        </is>
      </c>
      <c r="I647" s="21" t="inlineStr">
        <is>
          <t>Switch BMC Redfish (HTTPS)</t>
        </is>
      </c>
      <c r="J647" s="21" t="inlineStr">
        <is>
          <t>BMC (Switch)</t>
        </is>
      </c>
      <c r="K647" s="21" t="inlineStr">
        <is>
          <t>Added - helios-tests (20 Oct 2026)</t>
        </is>
      </c>
      <c r="L647" s="21" t="inlineStr">
        <is>
          <t>Non-disruptive</t>
        </is>
      </c>
    </row>
    <row r="648" ht="32" customHeight="1" s="33">
      <c r="A648" s="7" t="inlineStr">
        <is>
          <t>TC-BLT-7.5.9-5</t>
        </is>
      </c>
      <c r="B648" s="7" t="inlineStr">
        <is>
          <t>L1</t>
        </is>
      </c>
      <c r="C648" s="5" t="inlineStr">
        <is>
          <t>Deduplication Keys Present (Tc7.5.9-5, Blanton BMC plan TPI-151974, read-only)</t>
        </is>
      </c>
      <c r="D648" t="inlineStr">
        <is>
          <t>Yes</t>
        </is>
      </c>
      <c r="E648" t="inlineStr">
        <is>
          <t>no</t>
        </is>
      </c>
      <c r="H648" s="21" t="inlineStr">
        <is>
          <t>Not run yet: added 20 Oct 2026 from Juniper TPI-151974 v1.2 (Blanton BMC plan, Tc7.5.9-5); automated read-only in tests/bmc/test_blanton_redfish.py. Needs the switch's bmc / bmc_user in the inventory and its BMC password (UI)</t>
        </is>
      </c>
      <c r="I648" s="21" t="inlineStr">
        <is>
          <t>Switch BMC Redfish (HTTPS)</t>
        </is>
      </c>
      <c r="J648" s="21" t="inlineStr">
        <is>
          <t>BMC (Switch)</t>
        </is>
      </c>
      <c r="K648" s="21" t="inlineStr">
        <is>
          <t>Added - helios-tests (20 Oct 2026)</t>
        </is>
      </c>
      <c r="L648" s="21" t="inlineStr">
        <is>
          <t>Non-disruptive</t>
        </is>
      </c>
    </row>
    <row r="649" ht="32" customHeight="1" s="33">
      <c r="A649" s="7" t="inlineStr">
        <is>
          <t>TC-BLT-7.5.9-6</t>
        </is>
      </c>
      <c r="B649" s="7" t="inlineStr">
        <is>
          <t>L1</t>
        </is>
      </c>
      <c r="C649" s="5" t="inlineStr">
        <is>
          <t>MetricProperties Lists Switch Sensor URIs (Tc7.5.9-6, Blanton BMC plan TPI-151974, read-only)</t>
        </is>
      </c>
      <c r="D649" t="inlineStr">
        <is>
          <t>Yes</t>
        </is>
      </c>
      <c r="E649" t="inlineStr">
        <is>
          <t>no</t>
        </is>
      </c>
      <c r="H649" s="21" t="inlineStr">
        <is>
          <t>Not run yet: added 20 Oct 2026 from Juniper TPI-151974 v1.2 (Blanton BMC plan, Tc7.5.9-6); automated read-only in tests/bmc/test_blanton_redfish.py. Needs the switch's bmc / bmc_user in the inventory and its BMC password (UI)</t>
        </is>
      </c>
      <c r="I649" s="21" t="inlineStr">
        <is>
          <t>Switch BMC Redfish (HTTPS)</t>
        </is>
      </c>
      <c r="J649" s="21" t="inlineStr">
        <is>
          <t>BMC (Switch)</t>
        </is>
      </c>
      <c r="K649" s="21" t="inlineStr">
        <is>
          <t>Added - helios-tests (20 Oct 2026)</t>
        </is>
      </c>
      <c r="L649" s="21" t="inlineStr">
        <is>
          <t>Non-disruptive</t>
        </is>
      </c>
    </row>
    <row r="650" ht="32" customHeight="1" s="33">
      <c r="A650" s="7" t="inlineStr">
        <is>
          <t>TC-BLT-7.5.9-7</t>
        </is>
      </c>
      <c r="B650" s="7" t="inlineStr">
        <is>
          <t>L1</t>
        </is>
      </c>
      <c r="C650" s="5" t="inlineStr">
        <is>
          <t>Client Workflow - Browse (Tc7.5.9-7, Blanton BMC plan TPI-151974, read-only)</t>
        </is>
      </c>
      <c r="D650" t="inlineStr">
        <is>
          <t>Yes</t>
        </is>
      </c>
      <c r="E650" t="inlineStr">
        <is>
          <t>no</t>
        </is>
      </c>
      <c r="H650" s="21" t="inlineStr">
        <is>
          <t>Not run yet: added 20 Oct 2026 from Juniper TPI-151974 v1.2 (Blanton BMC plan, Tc7.5.9-7); automated read-only in tests/bmc/test_blanton_redfish.py. Needs the switch's bmc / bmc_user in the inventory and its BMC password (UI)</t>
        </is>
      </c>
      <c r="I650" s="21" t="inlineStr">
        <is>
          <t>Switch BMC Redfish (HTTPS)</t>
        </is>
      </c>
      <c r="J650" s="21" t="inlineStr">
        <is>
          <t>BMC (Switch)</t>
        </is>
      </c>
      <c r="K650" s="21" t="inlineStr">
        <is>
          <t>Added - helios-tests (20 Oct 2026)</t>
        </is>
      </c>
      <c r="L650" s="21" t="inlineStr">
        <is>
          <t>Non-disruptive</t>
        </is>
      </c>
    </row>
    <row r="651" ht="32" customHeight="1" s="33">
      <c r="A651" s="7" t="inlineStr">
        <is>
          <t>TC-BLT-7.5.9-8</t>
        </is>
      </c>
      <c r="B651" s="7" t="inlineStr">
        <is>
          <t>L1</t>
        </is>
      </c>
      <c r="C651" s="5" t="inlineStr">
        <is>
          <t>Client Workflow - Pick and Review MetricProperties (Tc7.5.9-8, Blanton BMC plan TPI-151974, read-only)</t>
        </is>
      </c>
      <c r="D651" t="inlineStr">
        <is>
          <t>Yes</t>
        </is>
      </c>
      <c r="E651" t="inlineStr">
        <is>
          <t>no</t>
        </is>
      </c>
      <c r="H651" s="21" t="inlineStr">
        <is>
          <t>Not run yet: added 20 Oct 2026 from Juniper TPI-151974 v1.2 (Blanton BMC plan, Tc7.5.9-8); automated read-only in tests/bmc/test_blanton_redfish.py. Needs the switch's bmc / bmc_user in the inventory and its BMC password (UI)</t>
        </is>
      </c>
      <c r="I651" s="21" t="inlineStr">
        <is>
          <t>Switch BMC Redfish (HTTPS)</t>
        </is>
      </c>
      <c r="J651" s="21" t="inlineStr">
        <is>
          <t>BMC (Switch)</t>
        </is>
      </c>
      <c r="K651" s="21" t="inlineStr">
        <is>
          <t>Added - helios-tests (20 Oct 2026)</t>
        </is>
      </c>
      <c r="L651" s="21" t="inlineStr">
        <is>
          <t>Non-disruptive</t>
        </is>
      </c>
    </row>
    <row r="652" ht="32" customHeight="1" s="33">
      <c r="A652" s="7" t="inlineStr">
        <is>
          <t>TC-BLT-7.5.9-13</t>
        </is>
      </c>
      <c r="B652" s="7" t="inlineStr">
        <is>
          <t>L1</t>
        </is>
      </c>
      <c r="C652" s="5" t="inlineStr">
        <is>
          <t>GET MetricReports - Collection (Tc7.5.9-13, Blanton BMC plan TPI-151974, read-only)</t>
        </is>
      </c>
      <c r="D652" t="inlineStr">
        <is>
          <t>Yes</t>
        </is>
      </c>
      <c r="E652" t="inlineStr">
        <is>
          <t>no</t>
        </is>
      </c>
      <c r="H652" s="21" t="inlineStr">
        <is>
          <t>Not run yet: added 20 Oct 2026 from Juniper TPI-151974 v1.2 (Blanton BMC plan, Tc7.5.9-13); automated read-only in tests/bmc/test_blanton_redfish.py. Needs the switch's bmc / bmc_user in the inventory and its BMC password (UI)</t>
        </is>
      </c>
      <c r="I652" s="21" t="inlineStr">
        <is>
          <t>Switch BMC Redfish (HTTPS)</t>
        </is>
      </c>
      <c r="J652" s="21" t="inlineStr">
        <is>
          <t>BMC (Switch)</t>
        </is>
      </c>
      <c r="K652" s="21" t="inlineStr">
        <is>
          <t>Added - helios-tests (20 Oct 2026)</t>
        </is>
      </c>
      <c r="L652" s="21" t="inlineStr">
        <is>
          <t>Non-disruptive</t>
        </is>
      </c>
    </row>
    <row r="653" ht="32" customHeight="1" s="33">
      <c r="A653" s="7" t="inlineStr">
        <is>
          <t>TC-BLT-7.5.9-14</t>
        </is>
      </c>
      <c r="B653" s="7" t="inlineStr">
        <is>
          <t>L1</t>
        </is>
      </c>
      <c r="C653" s="5" t="inlineStr">
        <is>
          <t>GET MetricReports/{id} (Tc7.5.9-14, Blanton BMC plan TPI-151974, read-only)</t>
        </is>
      </c>
      <c r="D653" t="inlineStr">
        <is>
          <t>Yes</t>
        </is>
      </c>
      <c r="E653" t="inlineStr">
        <is>
          <t>no</t>
        </is>
      </c>
      <c r="H653" s="21" t="inlineStr">
        <is>
          <t>Not run yet: added 20 Oct 2026 from Juniper TPI-151974 v1.2 (Blanton BMC plan, Tc7.5.9-14); automated read-only in tests/bmc/test_blanton_redfish.py. Needs the switch's bmc / bmc_user in the inventory and its BMC password (UI)</t>
        </is>
      </c>
      <c r="I653" s="21" t="inlineStr">
        <is>
          <t>Switch BMC Redfish (HTTPS)</t>
        </is>
      </c>
      <c r="J653" s="21" t="inlineStr">
        <is>
          <t>BMC (Switch)</t>
        </is>
      </c>
      <c r="K653" s="21" t="inlineStr">
        <is>
          <t>Added - helios-tests (20 Oct 2026)</t>
        </is>
      </c>
      <c r="L653" s="21" t="inlineStr">
        <is>
          <t>Non-disruptive</t>
        </is>
      </c>
    </row>
    <row r="654" ht="32" customHeight="1" s="33">
      <c r="A654" s="7" t="inlineStr">
        <is>
          <t>TC-BLT-7.3.1-1</t>
        </is>
      </c>
      <c r="B654" s="7" t="inlineStr">
        <is>
          <t>L1</t>
        </is>
      </c>
      <c r="C654" s="5" t="inlineStr">
        <is>
          <t>Service Root &amp; Version (Tc7.3.1-1, Blanton BMC plan TPI-151974, read-only)</t>
        </is>
      </c>
      <c r="D654" t="inlineStr">
        <is>
          <t>Yes</t>
        </is>
      </c>
      <c r="E654" t="inlineStr">
        <is>
          <t>no</t>
        </is>
      </c>
      <c r="H654" s="21" t="inlineStr">
        <is>
          <t>Not run yet: added 20 Oct 2026 from Juniper TPI-151974 v1.2 (Blanton BMC plan, Tc7.3.1-1); automated read-only in tests/bmc/test_blanton_redfish.py. Needs the switch's bmc / bmc_user in the inventory and its BMC password (UI)</t>
        </is>
      </c>
      <c r="I654" s="21" t="inlineStr">
        <is>
          <t>Switch BMC Redfish (HTTPS)</t>
        </is>
      </c>
      <c r="J654" s="21" t="inlineStr">
        <is>
          <t>BMC (Switch)</t>
        </is>
      </c>
      <c r="K654" s="21" t="inlineStr">
        <is>
          <t>Added - helios-tests (20 Oct 2026)</t>
        </is>
      </c>
      <c r="L654" s="21" t="inlineStr">
        <is>
          <t>Non-disruptive</t>
        </is>
      </c>
    </row>
    <row r="655" ht="32" customHeight="1" s="33">
      <c r="A655" s="7" t="inlineStr">
        <is>
          <t>TC-BLT-7.3.1-2</t>
        </is>
      </c>
      <c r="B655" s="7" t="inlineStr">
        <is>
          <t>L1</t>
        </is>
      </c>
      <c r="C655" s="5" t="inlineStr">
        <is>
          <t>Managers &amp; NetworkProtocol (Tc7.3.1-2, Blanton BMC plan TPI-151974, read-only)</t>
        </is>
      </c>
      <c r="D655" t="inlineStr">
        <is>
          <t>Yes</t>
        </is>
      </c>
      <c r="E655" t="inlineStr">
        <is>
          <t>no</t>
        </is>
      </c>
      <c r="H655" s="21" t="inlineStr">
        <is>
          <t>Not run yet: added 20 Oct 2026 from Juniper TPI-151974 v1.2 (Blanton BMC plan, Tc7.3.1-2); automated read-only in tests/bmc/test_blanton_redfish.py. Needs the switch's bmc / bmc_user in the inventory and its BMC password (UI)</t>
        </is>
      </c>
      <c r="I655" s="21" t="inlineStr">
        <is>
          <t>Switch BMC Redfish (HTTPS)</t>
        </is>
      </c>
      <c r="J655" s="21" t="inlineStr">
        <is>
          <t>BMC (Switch)</t>
        </is>
      </c>
      <c r="K655" s="21" t="inlineStr">
        <is>
          <t>Added - helios-tests (20 Oct 2026)</t>
        </is>
      </c>
      <c r="L655" s="21" t="inlineStr">
        <is>
          <t>Non-disruptive</t>
        </is>
      </c>
    </row>
    <row r="656" ht="32" customHeight="1" s="33">
      <c r="A656" s="7" t="inlineStr">
        <is>
          <t>TC-BLT-7.3.1-3</t>
        </is>
      </c>
      <c r="B656" s="7" t="inlineStr">
        <is>
          <t>L1</t>
        </is>
      </c>
      <c r="C656" s="5" t="inlineStr">
        <is>
          <t>EthernetInterfaces (eth0) (Tc7.3.1-3, Blanton BMC plan TPI-151974, read-only)</t>
        </is>
      </c>
      <c r="D656" t="inlineStr">
        <is>
          <t>Yes</t>
        </is>
      </c>
      <c r="E656" t="inlineStr">
        <is>
          <t>no</t>
        </is>
      </c>
      <c r="H656" s="21" t="inlineStr">
        <is>
          <t>Not run yet: added 20 Oct 2026 from Juniper TPI-151974 v1.2 (Blanton BMC plan, Tc7.3.1-3); automated read-only in tests/bmc/test_blanton_redfish.py. Needs the switch's bmc / bmc_user in the inventory and its BMC password (UI)</t>
        </is>
      </c>
      <c r="I656" s="21" t="inlineStr">
        <is>
          <t>Switch BMC Redfish (HTTPS)</t>
        </is>
      </c>
      <c r="J656" s="21" t="inlineStr">
        <is>
          <t>BMC (Switch)</t>
        </is>
      </c>
      <c r="K656" s="21" t="inlineStr">
        <is>
          <t>Added - helios-tests (20 Oct 2026)</t>
        </is>
      </c>
      <c r="L656" s="21" t="inlineStr">
        <is>
          <t>Non-disruptive</t>
        </is>
      </c>
    </row>
    <row r="657" ht="32" customHeight="1" s="33">
      <c r="A657" s="7" t="inlineStr">
        <is>
          <t>TC-BLT-7.3.4-1</t>
        </is>
      </c>
      <c r="B657" s="7" t="inlineStr">
        <is>
          <t>L1</t>
        </is>
      </c>
      <c r="C657" s="5" t="inlineStr">
        <is>
          <t>Journal &amp; SEL LogServices (Tc7.3.4-1, Blanton BMC plan TPI-151974, read-only)</t>
        </is>
      </c>
      <c r="D657" t="inlineStr">
        <is>
          <t>Yes</t>
        </is>
      </c>
      <c r="E657" t="inlineStr">
        <is>
          <t>no</t>
        </is>
      </c>
      <c r="H657" s="21" t="inlineStr">
        <is>
          <t>Not run yet: added 20 Oct 2026 from Juniper TPI-151974 v1.2 (Blanton BMC plan, Tc7.3.4-1); automated read-only in tests/bmc/test_blanton_redfish.py. Needs the switch's bmc / bmc_user in the inventory and its BMC password (UI)</t>
        </is>
      </c>
      <c r="I657" s="21" t="inlineStr">
        <is>
          <t>Switch BMC Redfish (HTTPS)</t>
        </is>
      </c>
      <c r="J657" s="21" t="inlineStr">
        <is>
          <t>BMC (Switch)</t>
        </is>
      </c>
      <c r="K657" s="21" t="inlineStr">
        <is>
          <t>Added - helios-tests (20 Oct 2026)</t>
        </is>
      </c>
      <c r="L657" s="21" t="inlineStr">
        <is>
          <t>Non-disruptive</t>
        </is>
      </c>
    </row>
    <row r="658" ht="32" customHeight="1" s="33">
      <c r="A658" s="7" t="inlineStr">
        <is>
          <t>TC-BLT-7.3.5-1</t>
        </is>
      </c>
      <c r="B658" s="7" t="inlineStr">
        <is>
          <t>L1</t>
        </is>
      </c>
      <c r="C658" s="5" t="inlineStr">
        <is>
          <t>Authentication &amp; TLS Enforcement (Tc7.3.5-1, Blanton BMC plan TPI-151974, read-only)</t>
        </is>
      </c>
      <c r="D658" t="inlineStr">
        <is>
          <t>Yes</t>
        </is>
      </c>
      <c r="E658" t="inlineStr">
        <is>
          <t>no</t>
        </is>
      </c>
      <c r="H658" s="21" t="inlineStr">
        <is>
          <t>Not run yet: added 20 Oct 2026 from Juniper TPI-151974 v1.2 (Blanton BMC plan, Tc7.3.5-1); automated read-only in tests/bmc/test_blanton_redfish.py. Needs the switch's bmc / bmc_user in the inventory and its BMC password (UI)</t>
        </is>
      </c>
      <c r="I658" s="21" t="inlineStr">
        <is>
          <t>Switch BMC Redfish (HTTPS)</t>
        </is>
      </c>
      <c r="J658" s="21" t="inlineStr">
        <is>
          <t>BMC (Switch)</t>
        </is>
      </c>
      <c r="K658" s="21" t="inlineStr">
        <is>
          <t>Added - helios-tests (20 Oct 2026)</t>
        </is>
      </c>
      <c r="L658" s="21" t="inlineStr">
        <is>
          <t>Non-disruptive</t>
        </is>
      </c>
    </row>
    <row r="659" ht="32" customHeight="1" s="33">
      <c r="A659" s="7" t="inlineStr">
        <is>
          <t>TC-BLT-7.3.6-1</t>
        </is>
      </c>
      <c r="B659" s="7" t="inlineStr">
        <is>
          <t>L1</t>
        </is>
      </c>
      <c r="C659" s="5" t="inlineStr">
        <is>
          <t>Sensor Discovery (D-Bus &amp; Redfish) (Tc7.3.6-1, Blanton BMC plan TPI-151974, read-only)</t>
        </is>
      </c>
      <c r="D659" t="inlineStr">
        <is>
          <t>Yes</t>
        </is>
      </c>
      <c r="E659" t="inlineStr">
        <is>
          <t>no</t>
        </is>
      </c>
      <c r="H659" s="21" t="inlineStr">
        <is>
          <t>Not run yet: added 20 Oct 2026 from Juniper TPI-151974 v1.2 (Blanton BMC plan, Tc7.3.6-1); automated read-only in tests/bmc/test_blanton_redfish.py. Needs the switch's bmc / bmc_user in the inventory and its BMC password (UI)</t>
        </is>
      </c>
      <c r="I659" s="21" t="inlineStr">
        <is>
          <t>Switch BMC Redfish (HTTPS)</t>
        </is>
      </c>
      <c r="J659" s="21" t="inlineStr">
        <is>
          <t>BMC (Switch)</t>
        </is>
      </c>
      <c r="K659" s="21" t="inlineStr">
        <is>
          <t>Added - helios-tests (20 Oct 2026)</t>
        </is>
      </c>
      <c r="L659" s="21" t="inlineStr">
        <is>
          <t>Non-disruptive</t>
        </is>
      </c>
    </row>
    <row r="660" ht="32" customHeight="1" s="33">
      <c r="A660" s="7" t="inlineStr">
        <is>
          <t>TC-BLT-7.3.6-2</t>
        </is>
      </c>
      <c r="B660" s="7" t="inlineStr">
        <is>
          <t>L1</t>
        </is>
      </c>
      <c r="C660" s="5" t="inlineStr">
        <is>
          <t>Threshold &amp; Health Mapping (Tc7.3.6-2, Blanton BMC plan TPI-151974, read-only)</t>
        </is>
      </c>
      <c r="D660" t="inlineStr">
        <is>
          <t>Yes</t>
        </is>
      </c>
      <c r="E660" t="inlineStr">
        <is>
          <t>no</t>
        </is>
      </c>
      <c r="H660" s="21" t="inlineStr">
        <is>
          <t>Not run yet: added 20 Oct 2026 from Juniper TPI-151974 v1.2 (Blanton BMC plan, Tc7.3.6-2); automated read-only in tests/bmc/test_blanton_redfish.py. Needs the switch's bmc / bmc_user in the inventory and its BMC password (UI)</t>
        </is>
      </c>
      <c r="I660" s="21" t="inlineStr">
        <is>
          <t>Switch BMC Redfish (HTTPS)</t>
        </is>
      </c>
      <c r="J660" s="21" t="inlineStr">
        <is>
          <t>BMC (Switch)</t>
        </is>
      </c>
      <c r="K660" s="21" t="inlineStr">
        <is>
          <t>Added - helios-tests (20 Oct 2026)</t>
        </is>
      </c>
      <c r="L660" s="21" t="inlineStr">
        <is>
          <t>Non-disruptive</t>
        </is>
      </c>
    </row>
    <row r="661" ht="32" customHeight="1" s="33">
      <c r="A661" s="7" t="inlineStr">
        <is>
          <t>TC-BLT-7.5.13-1</t>
        </is>
      </c>
      <c r="B661" s="7" t="inlineStr">
        <is>
          <t>L1</t>
        </is>
      </c>
      <c r="C661" s="5" t="inlineStr">
        <is>
          <t>GET ServiceConditions - Root Resource (Tc7.5.13-1, Blanton BMC plan TPI-151974, read-only)</t>
        </is>
      </c>
      <c r="D661" t="inlineStr">
        <is>
          <t>Yes</t>
        </is>
      </c>
      <c r="E661" t="inlineStr">
        <is>
          <t>no</t>
        </is>
      </c>
      <c r="H661" s="21" t="inlineStr">
        <is>
          <t>Not run yet: added 20 Oct 2026 from Juniper TPI-151974 v1.2 (Blanton BMC plan, Tc7.5.13-1); automated read-only in tests/bmc/test_blanton_redfish.py. Needs the switch's bmc / bmc_user in the inventory and its BMC password (UI)</t>
        </is>
      </c>
      <c r="I661" s="21" t="inlineStr">
        <is>
          <t>Switch BMC Redfish (HTTPS)</t>
        </is>
      </c>
      <c r="J661" s="21" t="inlineStr">
        <is>
          <t>BMC (Switch)</t>
        </is>
      </c>
      <c r="K661" s="21" t="inlineStr">
        <is>
          <t>Added - helios-tests (20 Oct 2026)</t>
        </is>
      </c>
      <c r="L661" s="21" t="inlineStr">
        <is>
          <t>Non-disruptive</t>
        </is>
      </c>
    </row>
    <row r="662" ht="32" customHeight="1" s="33">
      <c r="A662" s="7" t="inlineStr">
        <is>
          <t>TC-BLT-7.5.13-2</t>
        </is>
      </c>
      <c r="B662" s="7" t="inlineStr">
        <is>
          <t>L1</t>
        </is>
      </c>
      <c r="C662" s="5" t="inlineStr">
        <is>
          <t>Verify Condition Object Structure (Tc7.5.13-2, Blanton BMC plan TPI-151974, read-only)</t>
        </is>
      </c>
      <c r="D662" t="inlineStr">
        <is>
          <t>Yes</t>
        </is>
      </c>
      <c r="E662" t="inlineStr">
        <is>
          <t>no</t>
        </is>
      </c>
      <c r="H662" s="21" t="inlineStr">
        <is>
          <t>Not run yet: added 20 Oct 2026 from Juniper TPI-151974 v1.2 (Blanton BMC plan, Tc7.5.13-2); automated read-only in tests/bmc/test_blanton_redfish.py. Needs the switch's bmc / bmc_user in the inventory and its BMC password (UI)</t>
        </is>
      </c>
      <c r="I662" s="21" t="inlineStr">
        <is>
          <t>Switch BMC Redfish (HTTPS)</t>
        </is>
      </c>
      <c r="J662" s="21" t="inlineStr">
        <is>
          <t>BMC (Switch)</t>
        </is>
      </c>
      <c r="K662" s="21" t="inlineStr">
        <is>
          <t>Added - helios-tests (20 Oct 2026)</t>
        </is>
      </c>
      <c r="L662" s="21" t="inlineStr">
        <is>
          <t>Non-disruptive</t>
        </is>
      </c>
    </row>
    <row r="663" ht="32" customHeight="1" s="33">
      <c r="A663" s="7" t="inlineStr">
        <is>
          <t>TC-BLT-7.5.13-3</t>
        </is>
      </c>
      <c r="B663" s="7" t="inlineStr">
        <is>
          <t>L1</t>
        </is>
      </c>
      <c r="C663" s="5" t="inlineStr">
        <is>
          <t>Verify Severity Values (Tc7.5.13-3, Blanton BMC plan TPI-151974, read-only)</t>
        </is>
      </c>
      <c r="D663" t="inlineStr">
        <is>
          <t>Yes</t>
        </is>
      </c>
      <c r="E663" t="inlineStr">
        <is>
          <t>no</t>
        </is>
      </c>
      <c r="H663" s="21" t="inlineStr">
        <is>
          <t>Not run yet: added 20 Oct 2026 from Juniper TPI-151974 v1.2 (Blanton BMC plan, Tc7.5.13-3); automated read-only in tests/bmc/test_blanton_redfish.py. Needs the switch's bmc / bmc_user in the inventory and its BMC password (UI)</t>
        </is>
      </c>
      <c r="I663" s="21" t="inlineStr">
        <is>
          <t>Switch BMC Redfish (HTTPS)</t>
        </is>
      </c>
      <c r="J663" s="21" t="inlineStr">
        <is>
          <t>BMC (Switch)</t>
        </is>
      </c>
      <c r="K663" s="21" t="inlineStr">
        <is>
          <t>Added - helios-tests (20 Oct 2026)</t>
        </is>
      </c>
      <c r="L663" s="21" t="inlineStr">
        <is>
          <t>Non-disruptive</t>
        </is>
      </c>
    </row>
    <row r="664" ht="32" customHeight="1" s="33">
      <c r="A664" s="7" t="inlineStr">
        <is>
          <t>TC-BLT-7.5.13-4</t>
        </is>
      </c>
      <c r="B664" s="7" t="inlineStr">
        <is>
          <t>L1</t>
        </is>
      </c>
      <c r="C664" s="5" t="inlineStr">
        <is>
          <t>Verify OriginOfCondition URIs (Tc7.5.13-4, Blanton BMC plan TPI-151974, read-only)</t>
        </is>
      </c>
      <c r="D664" t="inlineStr">
        <is>
          <t>Yes</t>
        </is>
      </c>
      <c r="E664" t="inlineStr">
        <is>
          <t>no</t>
        </is>
      </c>
      <c r="H664" s="21" t="inlineStr">
        <is>
          <t>Not run yet: added 20 Oct 2026 from Juniper TPI-151974 v1.2 (Blanton BMC plan, Tc7.5.13-4); automated read-only in tests/bmc/test_blanton_redfish.py. Needs the switch's bmc / bmc_user in the inventory and its BMC password (UI)</t>
        </is>
      </c>
      <c r="I664" s="21" t="inlineStr">
        <is>
          <t>Switch BMC Redfish (HTTPS)</t>
        </is>
      </c>
      <c r="J664" s="21" t="inlineStr">
        <is>
          <t>BMC (Switch)</t>
        </is>
      </c>
      <c r="K664" s="21" t="inlineStr">
        <is>
          <t>Added - helios-tests (20 Oct 2026)</t>
        </is>
      </c>
      <c r="L664" s="21" t="inlineStr">
        <is>
          <t>Non-disruptive</t>
        </is>
      </c>
    </row>
    <row r="665" ht="32" customHeight="1" s="33">
      <c r="A665" s="7" t="inlineStr">
        <is>
          <t>TC-BLT-7.5.13-5</t>
        </is>
      </c>
      <c r="B665" s="7" t="inlineStr">
        <is>
          <t>L1</t>
        </is>
      </c>
      <c r="C665" s="5" t="inlineStr">
        <is>
          <t>Verify Timestamp Format (Tc7.5.13-5, Blanton BMC plan TPI-151974, read-only)</t>
        </is>
      </c>
      <c r="D665" t="inlineStr">
        <is>
          <t>Yes</t>
        </is>
      </c>
      <c r="E665" t="inlineStr">
        <is>
          <t>no</t>
        </is>
      </c>
      <c r="H665" s="21" t="inlineStr">
        <is>
          <t>Not run yet: added 20 Oct 2026 from Juniper TPI-151974 v1.2 (Blanton BMC plan, Tc7.5.13-5); automated read-only in tests/bmc/test_blanton_redfish.py. Needs the switch's bmc / bmc_user in the inventory and its BMC password (UI)</t>
        </is>
      </c>
      <c r="I665" s="21" t="inlineStr">
        <is>
          <t>Switch BMC Redfish (HTTPS)</t>
        </is>
      </c>
      <c r="J665" s="21" t="inlineStr">
        <is>
          <t>BMC (Switch)</t>
        </is>
      </c>
      <c r="K665" s="21" t="inlineStr">
        <is>
          <t>Added - helios-tests (20 Oct 2026)</t>
        </is>
      </c>
      <c r="L665" s="21" t="inlineStr">
        <is>
          <t>Non-disruptive</t>
        </is>
      </c>
    </row>
    <row r="666" ht="32" customHeight="1" s="33">
      <c r="A666" s="7" t="inlineStr">
        <is>
          <t>TC-BLT-7.5.13-7</t>
        </is>
      </c>
      <c r="B666" s="7" t="inlineStr">
        <is>
          <t>L1</t>
        </is>
      </c>
      <c r="C666" s="5" t="inlineStr">
        <is>
          <t>Client Workflow - Poll, Identify, Filter (Tc7.5.13-7, Blanton BMC plan TPI-151974, read-only)</t>
        </is>
      </c>
      <c r="D666" t="inlineStr">
        <is>
          <t>Yes</t>
        </is>
      </c>
      <c r="E666" t="inlineStr">
        <is>
          <t>no</t>
        </is>
      </c>
      <c r="H666" s="21" t="inlineStr">
        <is>
          <t>Not run yet: added 20 Oct 2026 from Juniper TPI-151974 v1.2 (Blanton BMC plan, Tc7.5.13-7); automated read-only in tests/bmc/test_blanton_redfish.py. Needs the switch's bmc / bmc_user in the inventory and its BMC password (UI)</t>
        </is>
      </c>
      <c r="I666" s="21" t="inlineStr">
        <is>
          <t>Switch BMC Redfish (HTTPS)</t>
        </is>
      </c>
      <c r="J666" s="21" t="inlineStr">
        <is>
          <t>BMC (Switch)</t>
        </is>
      </c>
      <c r="K666" s="21" t="inlineStr">
        <is>
          <t>Added - helios-tests (20 Oct 2026)</t>
        </is>
      </c>
      <c r="L666" s="21" t="inlineStr">
        <is>
          <t>Non-disruptive</t>
        </is>
      </c>
    </row>
    <row r="667" ht="32" customHeight="1" s="33">
      <c r="A667" s="7" t="inlineStr">
        <is>
          <t>TC-BLT-7.1.1-1</t>
        </is>
      </c>
      <c r="B667" s="7" t="inlineStr">
        <is>
          <t>L1</t>
        </is>
      </c>
      <c r="C667" s="5" t="inlineStr">
        <is>
          <t>USB Presence Detection ['check'] (Tc7.1.1-1, Blanton BMC plan TPI-151974, read-only)</t>
        </is>
      </c>
      <c r="D667" t="inlineStr">
        <is>
          <t>Yes</t>
        </is>
      </c>
      <c r="E667" t="inlineStr">
        <is>
          <t>no</t>
        </is>
      </c>
      <c r="H667" s="21" t="inlineStr">
        <is>
          <t>Not run yet: added 20 Oct 2026 from Juniper TPI-151974 v1.2 (Blanton BMC plan, Tc7.1.1-1); automated read-only in tests/bmc/test_blanton_cli.py. Needs the switch's bmc / bmc_user in the inventory and its BMC password (UI); bmc-manager.sh on the switch</t>
        </is>
      </c>
      <c r="I667" s="21" t="inlineStr">
        <is>
          <t>Switch SSH (bmc-manager.sh, sudo)</t>
        </is>
      </c>
      <c r="J667" s="21" t="inlineStr">
        <is>
          <t>BMC (Switch)</t>
        </is>
      </c>
      <c r="K667" s="21" t="inlineStr">
        <is>
          <t>Added - helios-tests (20 Oct 2026)</t>
        </is>
      </c>
      <c r="L667" s="21" t="inlineStr">
        <is>
          <t>Non-disruptive</t>
        </is>
      </c>
    </row>
    <row r="668" ht="32" customHeight="1" s="33">
      <c r="A668" s="7" t="inlineStr">
        <is>
          <t>TC-BLT-7.1.1-2</t>
        </is>
      </c>
      <c r="B668" s="7" t="inlineStr">
        <is>
          <t>L1</t>
        </is>
      </c>
      <c r="C668" s="5" t="inlineStr">
        <is>
          <t>Help Menu ['--help' | '-h'] (Tc7.1.1-2, Blanton BMC plan TPI-151974, read-only)</t>
        </is>
      </c>
      <c r="D668" t="inlineStr">
        <is>
          <t>Yes</t>
        </is>
      </c>
      <c r="E668" t="inlineStr">
        <is>
          <t>no</t>
        </is>
      </c>
      <c r="H668" s="21" t="inlineStr">
        <is>
          <t>Not run yet: added 20 Oct 2026 from Juniper TPI-151974 v1.2 (Blanton BMC plan, Tc7.1.1-2); automated read-only in tests/bmc/test_blanton_cli.py. Needs the switch's bmc / bmc_user in the inventory and its BMC password (UI); bmc-manager.sh on the switch</t>
        </is>
      </c>
      <c r="I668" s="21" t="inlineStr">
        <is>
          <t>Switch SSH (bmc-manager.sh, sudo)</t>
        </is>
      </c>
      <c r="J668" s="21" t="inlineStr">
        <is>
          <t>BMC (Switch)</t>
        </is>
      </c>
      <c r="K668" s="21" t="inlineStr">
        <is>
          <t>Added - helios-tests (20 Oct 2026)</t>
        </is>
      </c>
      <c r="L668" s="21" t="inlineStr">
        <is>
          <t>Non-disruptive</t>
        </is>
      </c>
    </row>
    <row r="669" ht="32" customHeight="1" s="33">
      <c r="A669" s="7" t="inlineStr">
        <is>
          <t>TC-BLT-7.1.1-4</t>
        </is>
      </c>
      <c r="B669" s="7" t="inlineStr">
        <is>
          <t>L1</t>
        </is>
      </c>
      <c r="C669" s="5" t="inlineStr">
        <is>
          <t>Display Version Information ['version'] (Tc7.1.1-4, Blanton BMC plan TPI-151974, read-only)</t>
        </is>
      </c>
      <c r="D669" t="inlineStr">
        <is>
          <t>Yes</t>
        </is>
      </c>
      <c r="E669" t="inlineStr">
        <is>
          <t>no</t>
        </is>
      </c>
      <c r="H669" s="21" t="inlineStr">
        <is>
          <t>Not run yet: added 20 Oct 2026 from Juniper TPI-151974 v1.2 (Blanton BMC plan, Tc7.1.1-4); automated read-only in tests/bmc/test_blanton_cli.py. Needs the switch's bmc / bmc_user in the inventory and its BMC password (UI); bmc-manager.sh on the switch</t>
        </is>
      </c>
      <c r="I669" s="21" t="inlineStr">
        <is>
          <t>Switch SSH (bmc-manager.sh, sudo)</t>
        </is>
      </c>
      <c r="J669" s="21" t="inlineStr">
        <is>
          <t>BMC (Switch)</t>
        </is>
      </c>
      <c r="K669" s="21" t="inlineStr">
        <is>
          <t>Added - helios-tests (20 Oct 2026)</t>
        </is>
      </c>
      <c r="L669" s="21" t="inlineStr">
        <is>
          <t>Non-disruptive</t>
        </is>
      </c>
    </row>
    <row r="670" ht="32" customHeight="1" s="33">
      <c r="A670" s="7" t="inlineStr">
        <is>
          <t>TC-BLT-7.1.1-5</t>
        </is>
      </c>
      <c r="B670" s="7" t="inlineStr">
        <is>
          <t>L1</t>
        </is>
      </c>
      <c r="C670" s="5" t="inlineStr">
        <is>
          <t>System Status Overview ['status'] (Tc7.1.1-5, Blanton BMC plan TPI-151974, read-only)</t>
        </is>
      </c>
      <c r="D670" t="inlineStr">
        <is>
          <t>Yes</t>
        </is>
      </c>
      <c r="E670" t="inlineStr">
        <is>
          <t>no</t>
        </is>
      </c>
      <c r="H670" s="21" t="inlineStr">
        <is>
          <t>Not run yet: added 20 Oct 2026 from Juniper TPI-151974 v1.2 (Blanton BMC plan, Tc7.1.1-5); automated read-only in tests/bmc/test_blanton_cli.py. Needs the switch's bmc / bmc_user in the inventory and its BMC password (UI); bmc-manager.sh on the switch</t>
        </is>
      </c>
      <c r="I670" s="21" t="inlineStr">
        <is>
          <t>Switch SSH (bmc-manager.sh, sudo)</t>
        </is>
      </c>
      <c r="J670" s="21" t="inlineStr">
        <is>
          <t>BMC (Switch)</t>
        </is>
      </c>
      <c r="K670" s="21" t="inlineStr">
        <is>
          <t>Added - helios-tests (20 Oct 2026)</t>
        </is>
      </c>
      <c r="L670" s="21" t="inlineStr">
        <is>
          <t>Non-disruptive</t>
        </is>
      </c>
    </row>
    <row r="671" ht="32" customHeight="1" s="33">
      <c r="A671" s="7" t="inlineStr">
        <is>
          <t>TC-BLT-7.1.1-6</t>
        </is>
      </c>
      <c r="B671" s="7" t="inlineStr">
        <is>
          <t>L1</t>
        </is>
      </c>
      <c r="C671" s="5" t="inlineStr">
        <is>
          <t>Health Check ['health'] (Tc7.1.1-6, Blanton BMC plan TPI-151974, read-only)</t>
        </is>
      </c>
      <c r="D671" t="inlineStr">
        <is>
          <t>Yes</t>
        </is>
      </c>
      <c r="E671" t="inlineStr">
        <is>
          <t>no</t>
        </is>
      </c>
      <c r="H671" s="21" t="inlineStr">
        <is>
          <t>Not run yet: added 20 Oct 2026 from Juniper TPI-151974 v1.2 (Blanton BMC plan, Tc7.1.1-6); automated read-only in tests/bmc/test_blanton_cli.py. Needs the switch's bmc / bmc_user in the inventory and its BMC password (UI); bmc-manager.sh on the switch</t>
        </is>
      </c>
      <c r="I671" s="21" t="inlineStr">
        <is>
          <t>Switch SSH (bmc-manager.sh, sudo)</t>
        </is>
      </c>
      <c r="J671" s="21" t="inlineStr">
        <is>
          <t>BMC (Switch)</t>
        </is>
      </c>
      <c r="K671" s="21" t="inlineStr">
        <is>
          <t>Added - helios-tests (20 Oct 2026)</t>
        </is>
      </c>
      <c r="L671" s="21" t="inlineStr">
        <is>
          <t>Non-disruptive</t>
        </is>
      </c>
    </row>
    <row r="672" ht="32" customHeight="1" s="33">
      <c r="A672" s="7" t="inlineStr">
        <is>
          <t>TC-BLT-7.1.1-9</t>
        </is>
      </c>
      <c r="B672" s="7" t="inlineStr">
        <is>
          <t>L1</t>
        </is>
      </c>
      <c r="C672" s="5" t="inlineStr">
        <is>
          <t>Default Boot Flash ('flash-info') (Tc7.1.1-9, Blanton BMC plan TPI-151974, read-only)</t>
        </is>
      </c>
      <c r="D672" t="inlineStr">
        <is>
          <t>Yes</t>
        </is>
      </c>
      <c r="E672" t="inlineStr">
        <is>
          <t>no</t>
        </is>
      </c>
      <c r="H672" s="21" t="inlineStr">
        <is>
          <t>Not run yet: added 20 Oct 2026 from Juniper TPI-151974 v1.2 (Blanton BMC plan, Tc7.1.1-9); automated read-only in tests/bmc/test_blanton_cli.py. Needs the switch's bmc / bmc_user in the inventory and its BMC password (UI); bmc-manager.sh on the switch</t>
        </is>
      </c>
      <c r="I672" s="21" t="inlineStr">
        <is>
          <t>Switch SSH (bmc-manager.sh, sudo)</t>
        </is>
      </c>
      <c r="J672" s="21" t="inlineStr">
        <is>
          <t>BMC (Switch)</t>
        </is>
      </c>
      <c r="K672" s="21" t="inlineStr">
        <is>
          <t>Added - helios-tests (20 Oct 2026)</t>
        </is>
      </c>
      <c r="L672" s="21" t="inlineStr">
        <is>
          <t>Non-disruptive</t>
        </is>
      </c>
    </row>
    <row r="673" ht="32" customHeight="1" s="33">
      <c r="A673" s="7" t="inlineStr">
        <is>
          <t>TC-BLT-7.1.1-10</t>
        </is>
      </c>
      <c r="B673" s="7" t="inlineStr">
        <is>
          <t>L1</t>
        </is>
      </c>
      <c r="C673" s="5" t="inlineStr">
        <is>
          <t>Flash Partition Information ['flash-info'] (Tc7.1.1-10, Blanton BMC plan TPI-151974, read-only)</t>
        </is>
      </c>
      <c r="D673" t="inlineStr">
        <is>
          <t>Yes</t>
        </is>
      </c>
      <c r="E673" t="inlineStr">
        <is>
          <t>no</t>
        </is>
      </c>
      <c r="H673" s="21" t="inlineStr">
        <is>
          <t>Not run yet: added 20 Oct 2026 from Juniper TPI-151974 v1.2 (Blanton BMC plan, Tc7.1.1-10); automated read-only in tests/bmc/test_blanton_cli.py. Needs the switch's bmc / bmc_user in the inventory and its BMC password (UI); bmc-manager.sh on the switch</t>
        </is>
      </c>
      <c r="I673" s="21" t="inlineStr">
        <is>
          <t>Switch SSH (bmc-manager.sh, sudo)</t>
        </is>
      </c>
      <c r="J673" s="21" t="inlineStr">
        <is>
          <t>BMC (Switch)</t>
        </is>
      </c>
      <c r="K673" s="21" t="inlineStr">
        <is>
          <t>Added - helios-tests (20 Oct 2026)</t>
        </is>
      </c>
      <c r="L673" s="21" t="inlineStr">
        <is>
          <t>Non-disruptive</t>
        </is>
      </c>
    </row>
    <row r="674" ht="32" customHeight="1" s="33">
      <c r="A674" s="7" t="inlineStr">
        <is>
          <t>TC-BLT-7.1.2-1</t>
        </is>
      </c>
      <c r="B674" s="7" t="inlineStr">
        <is>
          <t>L1</t>
        </is>
      </c>
      <c r="C674" s="5" t="inlineStr">
        <is>
          <t>Journal Streaming [No Filter |errors |warnings |boot |] (Tc7.1.2-1, Blanton BMC plan TPI-151974, read-only)</t>
        </is>
      </c>
      <c r="D674" t="inlineStr">
        <is>
          <t>Yes</t>
        </is>
      </c>
      <c r="E674" t="inlineStr">
        <is>
          <t>no</t>
        </is>
      </c>
      <c r="H674" s="21" t="inlineStr">
        <is>
          <t>Not run yet: added 20 Oct 2026 from Juniper TPI-151974 v1.2 (Blanton BMC plan, Tc7.1.2-1); automated read-only in tests/bmc/test_blanton_cli.py. Needs the switch's bmc / bmc_user in the inventory and its BMC password (UI); bmc-manager.sh on the switch</t>
        </is>
      </c>
      <c r="I674" s="21" t="inlineStr">
        <is>
          <t>Switch SSH (bmc-manager.sh, sudo)</t>
        </is>
      </c>
      <c r="J674" s="21" t="inlineStr">
        <is>
          <t>BMC (Switch)</t>
        </is>
      </c>
      <c r="K674" s="21" t="inlineStr">
        <is>
          <t>Added - helios-tests (20 Oct 2026)</t>
        </is>
      </c>
      <c r="L674" s="21" t="inlineStr">
        <is>
          <t>Non-disruptive</t>
        </is>
      </c>
    </row>
    <row r="675" ht="32" customHeight="1" s="33">
      <c r="A675" s="7" t="inlineStr">
        <is>
          <t>TC-BLT-7.1.2-2</t>
        </is>
      </c>
      <c r="B675" s="7" t="inlineStr">
        <is>
          <t>L1</t>
        </is>
      </c>
      <c r="C675" s="5" t="inlineStr">
        <is>
          <t>Kernel Logs ['dmesg'] (Tc7.1.2-2, Blanton BMC plan TPI-151974, read-only)</t>
        </is>
      </c>
      <c r="D675" t="inlineStr">
        <is>
          <t>Yes</t>
        </is>
      </c>
      <c r="E675" t="inlineStr">
        <is>
          <t>no</t>
        </is>
      </c>
      <c r="H675" s="21" t="inlineStr">
        <is>
          <t>Not run yet: added 20 Oct 2026 from Juniper TPI-151974 v1.2 (Blanton BMC plan, Tc7.1.2-2); automated read-only in tests/bmc/test_blanton_cli.py. Needs the switch's bmc / bmc_user in the inventory and its BMC password (UI); bmc-manager.sh on the switch</t>
        </is>
      </c>
      <c r="I675" s="21" t="inlineStr">
        <is>
          <t>Switch SSH (bmc-manager.sh, sudo)</t>
        </is>
      </c>
      <c r="J675" s="21" t="inlineStr">
        <is>
          <t>BMC (Switch)</t>
        </is>
      </c>
      <c r="K675" s="21" t="inlineStr">
        <is>
          <t>Added - helios-tests (20 Oct 2026)</t>
        </is>
      </c>
      <c r="L675" s="21" t="inlineStr">
        <is>
          <t>Non-disruptive</t>
        </is>
      </c>
    </row>
    <row r="676" ht="32" customHeight="1" s="33">
      <c r="A676" s="7" t="inlineStr">
        <is>
          <t>TC-BLT-7.1.3-3</t>
        </is>
      </c>
      <c r="B676" s="7" t="inlineStr">
        <is>
          <t>L1</t>
        </is>
      </c>
      <c r="C676" s="5" t="inlineStr">
        <is>
          <t>Check SSH Access Status ['ssh-access status'] (Tc7.1.3-3, Blanton BMC plan TPI-151974, read-only)</t>
        </is>
      </c>
      <c r="D676" t="inlineStr">
        <is>
          <t>Yes</t>
        </is>
      </c>
      <c r="E676" t="inlineStr">
        <is>
          <t>no</t>
        </is>
      </c>
      <c r="H676" s="21" t="inlineStr">
        <is>
          <t>Not run yet: added 20 Oct 2026 from Juniper TPI-151974 v1.2 (Blanton BMC plan, Tc7.1.3-3); automated read-only in tests/bmc/test_blanton_cli.py. Needs the switch's bmc / bmc_user in the inventory and its BMC password (UI); bmc-manager.sh on the switch</t>
        </is>
      </c>
      <c r="I676" s="21" t="inlineStr">
        <is>
          <t>Switch SSH (bmc-manager.sh, sudo)</t>
        </is>
      </c>
      <c r="J676" s="21" t="inlineStr">
        <is>
          <t>BMC (Switch)</t>
        </is>
      </c>
      <c r="K676" s="21" t="inlineStr">
        <is>
          <t>Added - helios-tests (20 Oct 2026)</t>
        </is>
      </c>
      <c r="L676" s="21" t="inlineStr">
        <is>
          <t>Non-disruptive</t>
        </is>
      </c>
    </row>
    <row r="677" ht="32" customHeight="1" s="33">
      <c r="A677" s="7" t="inlineStr">
        <is>
          <t>TC-BLT-7.1.4-1</t>
        </is>
      </c>
      <c r="B677" s="7" t="inlineStr">
        <is>
          <t>L1</t>
        </is>
      </c>
      <c r="C677" s="5" t="inlineStr">
        <is>
          <t>List Configuration Files ['config-list'] (Tc7.1.4-1, Blanton BMC plan TPI-151974, read-only)</t>
        </is>
      </c>
      <c r="D677" t="inlineStr">
        <is>
          <t>Yes</t>
        </is>
      </c>
      <c r="E677" t="inlineStr">
        <is>
          <t>no</t>
        </is>
      </c>
      <c r="H677" s="21" t="inlineStr">
        <is>
          <t>Not run yet: added 20 Oct 2026 from Juniper TPI-151974 v1.2 (Blanton BMC plan, Tc7.1.4-1); automated read-only in tests/bmc/test_blanton_cli.py. Needs the switch's bmc / bmc_user in the inventory and its BMC password (UI); bmc-manager.sh on the switch</t>
        </is>
      </c>
      <c r="I677" s="21" t="inlineStr">
        <is>
          <t>Switch SSH (bmc-manager.sh, sudo)</t>
        </is>
      </c>
      <c r="J677" s="21" t="inlineStr">
        <is>
          <t>BMC (Switch)</t>
        </is>
      </c>
      <c r="K677" s="21" t="inlineStr">
        <is>
          <t>Added - helios-tests (20 Oct 2026)</t>
        </is>
      </c>
      <c r="L677" s="21" t="inlineStr">
        <is>
          <t>Non-disruptive</t>
        </is>
      </c>
    </row>
    <row r="678" ht="32" customHeight="1" s="33">
      <c r="A678" s="7" t="inlineStr">
        <is>
          <t>TC-BLT-7.2.6-17</t>
        </is>
      </c>
      <c r="B678" s="7" t="inlineStr">
        <is>
          <t>L1</t>
        </is>
      </c>
      <c r="C678" s="5" t="inlineStr">
        <is>
          <t>Verify redfish docker container is only enabled on liquid cooling platforms. (Tc7.2.6-17, Blanton BMC plan TPI-151974, read-only)</t>
        </is>
      </c>
      <c r="D678" t="inlineStr">
        <is>
          <t>Yes</t>
        </is>
      </c>
      <c r="E678" t="inlineStr">
        <is>
          <t>no</t>
        </is>
      </c>
      <c r="H678" s="21" t="inlineStr">
        <is>
          <t>Not run yet: added 20 Oct 2026 from Juniper TPI-151974 v1.2 (Blanton BMC plan, Tc7.2.6-17); automated read-only in tests/bmc/test_blanton_cli.py. Needs the switch's bmc / bmc_user in the inventory and its BMC password (UI); bmc-manager.sh on the switch</t>
        </is>
      </c>
      <c r="I678" s="21" t="inlineStr">
        <is>
          <t>Switch SSH (bmc-manager.sh, sudo)</t>
        </is>
      </c>
      <c r="J678" s="21" t="inlineStr">
        <is>
          <t>BMC (Switch)</t>
        </is>
      </c>
      <c r="K678" s="21" t="inlineStr">
        <is>
          <t>Added - helios-tests (20 Oct 2026)</t>
        </is>
      </c>
      <c r="L678" s="21" t="inlineStr">
        <is>
          <t>Non-disruptive</t>
        </is>
      </c>
    </row>
    <row r="679" ht="32" customHeight="1" s="33">
      <c r="A679" s="7" t="inlineStr">
        <is>
          <t>TC-BLT-7.2.6-19</t>
        </is>
      </c>
      <c r="B679" s="7" t="inlineStr">
        <is>
          <t>L1</t>
        </is>
      </c>
      <c r="C679" s="5" t="inlineStr">
        <is>
          <t>Rack Manager Reachability - REACHABLE (Tc7.2.6-19, Blanton BMC plan TPI-151974, read-only)</t>
        </is>
      </c>
      <c r="D679" t="inlineStr">
        <is>
          <t>Yes</t>
        </is>
      </c>
      <c r="E679" t="inlineStr">
        <is>
          <t>no</t>
        </is>
      </c>
      <c r="H679" s="21" t="inlineStr">
        <is>
          <t>Not run yet: added 20 Oct 2026 from Juniper TPI-151974 v1.2 (Blanton BMC plan, Tc7.2.6-19); automated read-only in tests/bmc/test_blanton_cli.py. Needs the switch's bmc / bmc_user in the inventory and its BMC password (UI); bmc-manager.sh on the switch</t>
        </is>
      </c>
      <c r="I679" s="21" t="inlineStr">
        <is>
          <t>Switch SSH (bmc-manager.sh, sudo)</t>
        </is>
      </c>
      <c r="J679" s="21" t="inlineStr">
        <is>
          <t>BMC (Switch)</t>
        </is>
      </c>
      <c r="K679" s="21" t="inlineStr">
        <is>
          <t>Added - helios-tests (20 Oct 2026)</t>
        </is>
      </c>
      <c r="L679" s="21" t="inlineStr">
        <is>
          <t>Non-disruptive</t>
        </is>
      </c>
    </row>
    <row r="680" ht="32" customHeight="1" s="33">
      <c r="A680" s="7" t="inlineStr">
        <is>
          <t>TC-BLT-7.5.1-1</t>
        </is>
      </c>
      <c r="B680" s="7" t="inlineStr">
        <is>
          <t>L1</t>
        </is>
      </c>
      <c r="C680" s="5" t="inlineStr">
        <is>
          <t>GET Aggregator Service Root (Tc7.5.1-1, Blanton BMC plan TPI-151974, read-only)</t>
        </is>
      </c>
      <c r="D680" t="inlineStr">
        <is>
          <t>Yes</t>
        </is>
      </c>
      <c r="E680" t="inlineStr">
        <is>
          <t>no</t>
        </is>
      </c>
      <c r="H680" s="21" t="inlineStr">
        <is>
          <t>Not run yet: added 20 Oct 2026 from Juniper TPI-151974 v1.2 (Blanton BMC plan, Tc7.5.1-1); automated read-only in tests/bmc/test_blanton_arim.py. Needs the switch's bmc / bmc_user in the inventory and its BMC password (UI); an ARIM: arim: {url, user} + $HELIOS_ARIM_PASSWORD</t>
        </is>
      </c>
      <c r="I680" s="21" t="inlineStr">
        <is>
          <t>ARIM Redfish (HTTPS)</t>
        </is>
      </c>
      <c r="J680" s="21" t="inlineStr">
        <is>
          <t>BMC (ARIM rack manager)</t>
        </is>
      </c>
      <c r="K680" s="21" t="inlineStr">
        <is>
          <t>Added - helios-tests (20 Oct 2026)</t>
        </is>
      </c>
      <c r="L680" s="21" t="inlineStr">
        <is>
          <t>Non-disruptive</t>
        </is>
      </c>
    </row>
    <row r="681" ht="32" customHeight="1" s="33">
      <c r="A681" s="7" t="inlineStr">
        <is>
          <t>TC-BLT-7.5.1-2</t>
        </is>
      </c>
      <c r="B681" s="7" t="inlineStr">
        <is>
          <t>L1</t>
        </is>
      </c>
      <c r="C681" s="5" t="inlineStr">
        <is>
          <t>GET /redfish Version Object (Tc7.5.1-2, Blanton BMC plan TPI-151974, read-only)</t>
        </is>
      </c>
      <c r="D681" t="inlineStr">
        <is>
          <t>Yes</t>
        </is>
      </c>
      <c r="E681" t="inlineStr">
        <is>
          <t>no</t>
        </is>
      </c>
      <c r="H681" s="21" t="inlineStr">
        <is>
          <t>Not run yet: added 20 Oct 2026 from Juniper TPI-151974 v1.2 (Blanton BMC plan, Tc7.5.1-2); automated read-only in tests/bmc/test_blanton_arim.py. Needs the switch's bmc / bmc_user in the inventory and its BMC password (UI); an ARIM: arim: {url, user} + $HELIOS_ARIM_PASSWORD</t>
        </is>
      </c>
      <c r="I681" s="21" t="inlineStr">
        <is>
          <t>ARIM Redfish (HTTPS)</t>
        </is>
      </c>
      <c r="J681" s="21" t="inlineStr">
        <is>
          <t>BMC (ARIM rack manager)</t>
        </is>
      </c>
      <c r="K681" s="21" t="inlineStr">
        <is>
          <t>Added - helios-tests (20 Oct 2026)</t>
        </is>
      </c>
      <c r="L681" s="21" t="inlineStr">
        <is>
          <t>Non-disruptive</t>
        </is>
      </c>
    </row>
    <row r="682" ht="32" customHeight="1" s="33">
      <c r="A682" s="7" t="inlineStr">
        <is>
          <t>TC-BLT-7.5.1-3</t>
        </is>
      </c>
      <c r="B682" s="7" t="inlineStr">
        <is>
          <t>L1</t>
        </is>
      </c>
      <c r="C682" s="5" t="inlineStr">
        <is>
          <t>GET JsonSchemas Collection (Tc7.5.1-3, Blanton BMC plan TPI-151974, read-only)</t>
        </is>
      </c>
      <c r="D682" t="inlineStr">
        <is>
          <t>Yes</t>
        </is>
      </c>
      <c r="E682" t="inlineStr">
        <is>
          <t>no</t>
        </is>
      </c>
      <c r="H682" s="21" t="inlineStr">
        <is>
          <t>Not run yet: added 20 Oct 2026 from Juniper TPI-151974 v1.2 (Blanton BMC plan, Tc7.5.1-3); automated read-only in tests/bmc/test_blanton_arim.py. Needs the switch's bmc / bmc_user in the inventory and its BMC password (UI); an ARIM: arim: {url, user} + $HELIOS_ARIM_PASSWORD</t>
        </is>
      </c>
      <c r="I682" s="21" t="inlineStr">
        <is>
          <t>ARIM Redfish (HTTPS)</t>
        </is>
      </c>
      <c r="J682" s="21" t="inlineStr">
        <is>
          <t>BMC (ARIM rack manager)</t>
        </is>
      </c>
      <c r="K682" s="21" t="inlineStr">
        <is>
          <t>Added - helios-tests (20 Oct 2026)</t>
        </is>
      </c>
      <c r="L682" s="21" t="inlineStr">
        <is>
          <t>Non-disruptive</t>
        </is>
      </c>
    </row>
    <row r="683" ht="32" customHeight="1" s="33">
      <c r="A683" s="7" t="inlineStr">
        <is>
          <t>TC-BLT-7.5.1-4</t>
        </is>
      </c>
      <c r="B683" s="7" t="inlineStr">
        <is>
          <t>L1</t>
        </is>
      </c>
      <c r="C683" s="5" t="inlineStr">
        <is>
          <t>GET Registries Collection (Tc7.5.1-4, Blanton BMC plan TPI-151974, read-only)</t>
        </is>
      </c>
      <c r="D683" t="inlineStr">
        <is>
          <t>Yes</t>
        </is>
      </c>
      <c r="E683" t="inlineStr">
        <is>
          <t>no</t>
        </is>
      </c>
      <c r="H683" s="21" t="inlineStr">
        <is>
          <t>Not run yet: added 20 Oct 2026 from Juniper TPI-151974 v1.2 (Blanton BMC plan, Tc7.5.1-4); automated read-only in tests/bmc/test_blanton_arim.py. Needs the switch's bmc / bmc_user in the inventory and its BMC password (UI); an ARIM: arim: {url, user} + $HELIOS_ARIM_PASSWORD</t>
        </is>
      </c>
      <c r="I683" s="21" t="inlineStr">
        <is>
          <t>ARIM Redfish (HTTPS)</t>
        </is>
      </c>
      <c r="J683" s="21" t="inlineStr">
        <is>
          <t>BMC (ARIM rack manager)</t>
        </is>
      </c>
      <c r="K683" s="21" t="inlineStr">
        <is>
          <t>Added - helios-tests (20 Oct 2026)</t>
        </is>
      </c>
      <c r="L683" s="21" t="inlineStr">
        <is>
          <t>Non-disruptive</t>
        </is>
      </c>
    </row>
    <row r="684" ht="32" customHeight="1" s="33">
      <c r="A684" s="7" t="inlineStr">
        <is>
          <t>TC-BLT-7.5.2-4</t>
        </is>
      </c>
      <c r="B684" s="7" t="inlineStr">
        <is>
          <t>L1</t>
        </is>
      </c>
      <c r="C684" s="5" t="inlineStr">
        <is>
          <t>List Connection Methods (Tc7.5.2-4, Blanton BMC plan TPI-151974, read-only)</t>
        </is>
      </c>
      <c r="D684" t="inlineStr">
        <is>
          <t>Yes</t>
        </is>
      </c>
      <c r="E684" t="inlineStr">
        <is>
          <t>no</t>
        </is>
      </c>
      <c r="H684" s="21" t="inlineStr">
        <is>
          <t>Not run yet: added 20 Oct 2026 from Juniper TPI-151974 v1.2 (Blanton BMC plan, Tc7.5.2-4); automated read-only in tests/bmc/test_blanton_arim.py. Needs the switch's bmc / bmc_user in the inventory and its BMC password (UI); an ARIM: arim: {url, user} + $HELIOS_ARIM_PASSWORD</t>
        </is>
      </c>
      <c r="I684" s="21" t="inlineStr">
        <is>
          <t>ARIM Redfish (HTTPS)</t>
        </is>
      </c>
      <c r="J684" s="21" t="inlineStr">
        <is>
          <t>BMC (ARIM rack manager)</t>
        </is>
      </c>
      <c r="K684" s="21" t="inlineStr">
        <is>
          <t>Added - helios-tests (20 Oct 2026)</t>
        </is>
      </c>
      <c r="L684" s="21" t="inlineStr">
        <is>
          <t>Non-disruptive</t>
        </is>
      </c>
    </row>
    <row r="685" ht="32" customHeight="1" s="33">
      <c r="A685" s="7" t="inlineStr">
        <is>
          <t>TC-BLT-7.5.3-1</t>
        </is>
      </c>
      <c r="B685" s="7" t="inlineStr">
        <is>
          <t>L1</t>
        </is>
      </c>
      <c r="C685" s="5" t="inlineStr">
        <is>
          <t>Verify Transparent Proxy Rule (Tc7.5.3-1, Blanton BMC plan TPI-151974, read-only)</t>
        </is>
      </c>
      <c r="D685" t="inlineStr">
        <is>
          <t>Yes</t>
        </is>
      </c>
      <c r="E685" t="inlineStr">
        <is>
          <t>no</t>
        </is>
      </c>
      <c r="H685" s="21" t="inlineStr">
        <is>
          <t>Not run yet: added 20 Oct 2026 from Juniper TPI-151974 v1.2 (Blanton BMC plan, Tc7.5.3-1); automated read-only in tests/bmc/test_blanton_arim.py. Needs the switch's bmc / bmc_user in the inventory and its BMC password (UI); an ARIM: arim: {url, user} + $HELIOS_ARIM_PASSWORD</t>
        </is>
      </c>
      <c r="I685" s="21" t="inlineStr">
        <is>
          <t>ARIM Redfish (HTTPS)</t>
        </is>
      </c>
      <c r="J685" s="21" t="inlineStr">
        <is>
          <t>BMC (ARIM rack manager)</t>
        </is>
      </c>
      <c r="K685" s="21" t="inlineStr">
        <is>
          <t>Added - helios-tests (20 Oct 2026)</t>
        </is>
      </c>
      <c r="L685" s="21" t="inlineStr">
        <is>
          <t>Non-disruptive</t>
        </is>
      </c>
    </row>
    <row r="686" ht="32" customHeight="1" s="33">
      <c r="A686" s="7" t="inlineStr">
        <is>
          <t>TC-BLT-7.5.3-2</t>
        </is>
      </c>
      <c r="B686" s="7" t="inlineStr">
        <is>
          <t>L1</t>
        </is>
      </c>
      <c r="C686" s="5" t="inlineStr">
        <is>
          <t>Verify URI Rewriting in Responses (Tc7.5.3-2, Blanton BMC plan TPI-151974, read-only)</t>
        </is>
      </c>
      <c r="D686" t="inlineStr">
        <is>
          <t>Yes</t>
        </is>
      </c>
      <c r="E686" t="inlineStr">
        <is>
          <t>no</t>
        </is>
      </c>
      <c r="H686" s="21" t="inlineStr">
        <is>
          <t>Not run yet: added 20 Oct 2026 from Juniper TPI-151974 v1.2 (Blanton BMC plan, Tc7.5.3-2); automated read-only in tests/bmc/test_blanton_arim.py. Needs the switch's bmc / bmc_user in the inventory and its BMC password (UI); an ARIM: arim: {url, user} + $HELIOS_ARIM_PASSWORD</t>
        </is>
      </c>
      <c r="I686" s="21" t="inlineStr">
        <is>
          <t>ARIM Redfish (HTTPS)</t>
        </is>
      </c>
      <c r="J686" s="21" t="inlineStr">
        <is>
          <t>BMC (ARIM rack manager)</t>
        </is>
      </c>
      <c r="K686" s="21" t="inlineStr">
        <is>
          <t>Added - helios-tests (20 Oct 2026)</t>
        </is>
      </c>
      <c r="L686" s="21" t="inlineStr">
        <is>
          <t>Non-disruptive</t>
        </is>
      </c>
    </row>
    <row r="687" ht="32" customHeight="1" s="33">
      <c r="A687" s="7" t="inlineStr">
        <is>
          <t>TC-BLT-7.5.4-1</t>
        </is>
      </c>
      <c r="B687" s="7" t="inlineStr">
        <is>
          <t>L1</t>
        </is>
      </c>
      <c r="C687" s="5" t="inlineStr">
        <is>
          <t>Systems Collection Membership (Tc7.5.4-1, Blanton BMC plan TPI-151974, read-only)</t>
        </is>
      </c>
      <c r="D687" t="inlineStr">
        <is>
          <t>Yes</t>
        </is>
      </c>
      <c r="E687" t="inlineStr">
        <is>
          <t>no</t>
        </is>
      </c>
      <c r="H687" s="21" t="inlineStr">
        <is>
          <t>Not run yet: added 20 Oct 2026 from Juniper TPI-151974 v1.2 (Blanton BMC plan, Tc7.5.4-1); automated read-only in tests/bmc/test_blanton_arim.py. Needs the switch's bmc / bmc_user in the inventory and its BMC password (UI); an ARIM: arim: {url, user} + $HELIOS_ARIM_PASSWORD</t>
        </is>
      </c>
      <c r="I687" s="21" t="inlineStr">
        <is>
          <t>ARIM Redfish (HTTPS)</t>
        </is>
      </c>
      <c r="J687" s="21" t="inlineStr">
        <is>
          <t>BMC (ARIM rack manager)</t>
        </is>
      </c>
      <c r="K687" s="21" t="inlineStr">
        <is>
          <t>Added - helios-tests (20 Oct 2026)</t>
        </is>
      </c>
      <c r="L687" s="21" t="inlineStr">
        <is>
          <t>Non-disruptive</t>
        </is>
      </c>
    </row>
    <row r="688" ht="32" customHeight="1" s="33">
      <c r="A688" s="7" t="inlineStr">
        <is>
          <t>TC-BLT-7.5.4-2</t>
        </is>
      </c>
      <c r="B688" s="7" t="inlineStr">
        <is>
          <t>L1</t>
        </is>
      </c>
      <c r="C688" s="5" t="inlineStr">
        <is>
          <t>Chassis Collection Membership (Tc7.5.4-2, Blanton BMC plan TPI-151974, read-only)</t>
        </is>
      </c>
      <c r="D688" t="inlineStr">
        <is>
          <t>Yes</t>
        </is>
      </c>
      <c r="E688" t="inlineStr">
        <is>
          <t>no</t>
        </is>
      </c>
      <c r="H688" s="21" t="inlineStr">
        <is>
          <t>Not run yet: added 20 Oct 2026 from Juniper TPI-151974 v1.2 (Blanton BMC plan, Tc7.5.4-2); automated read-only in tests/bmc/test_blanton_arim.py. Needs the switch's bmc / bmc_user in the inventory and its BMC password (UI); an ARIM: arim: {url, user} + $HELIOS_ARIM_PASSWORD</t>
        </is>
      </c>
      <c r="I688" s="21" t="inlineStr">
        <is>
          <t>ARIM Redfish (HTTPS)</t>
        </is>
      </c>
      <c r="J688" s="21" t="inlineStr">
        <is>
          <t>BMC (ARIM rack manager)</t>
        </is>
      </c>
      <c r="K688" s="21" t="inlineStr">
        <is>
          <t>Added - helios-tests (20 Oct 2026)</t>
        </is>
      </c>
      <c r="L688" s="21" t="inlineStr">
        <is>
          <t>Non-disruptive</t>
        </is>
      </c>
    </row>
    <row r="689" ht="32" customHeight="1" s="33">
      <c r="A689" s="7" t="inlineStr">
        <is>
          <t>TC-BLT-7.5.4-3</t>
        </is>
      </c>
      <c r="B689" s="7" t="inlineStr">
        <is>
          <t>L1</t>
        </is>
      </c>
      <c r="C689" s="5" t="inlineStr">
        <is>
          <t>Managers Collection Membership (Tc7.5.4-3, Blanton BMC plan TPI-151974, read-only)</t>
        </is>
      </c>
      <c r="D689" t="inlineStr">
        <is>
          <t>Yes</t>
        </is>
      </c>
      <c r="E689" t="inlineStr">
        <is>
          <t>no</t>
        </is>
      </c>
      <c r="H689" s="21" t="inlineStr">
        <is>
          <t>Not run yet: added 20 Oct 2026 from Juniper TPI-151974 v1.2 (Blanton BMC plan, Tc7.5.4-3); automated read-only in tests/bmc/test_blanton_arim.py. Needs the switch's bmc / bmc_user in the inventory and its BMC password (UI); an ARIM: arim: {url, user} + $HELIOS_ARIM_PASSWORD</t>
        </is>
      </c>
      <c r="I689" s="21" t="inlineStr">
        <is>
          <t>ARIM Redfish (HTTPS)</t>
        </is>
      </c>
      <c r="J689" s="21" t="inlineStr">
        <is>
          <t>BMC (ARIM rack manager)</t>
        </is>
      </c>
      <c r="K689" s="21" t="inlineStr">
        <is>
          <t>Added - helios-tests (20 Oct 2026)</t>
        </is>
      </c>
      <c r="L689" s="21" t="inlineStr">
        <is>
          <t>Non-disruptive</t>
        </is>
      </c>
    </row>
    <row r="690" ht="32" customHeight="1" s="33">
      <c r="A690" s="7" t="inlineStr">
        <is>
          <t>TC-BLT-7.5.4-4</t>
        </is>
      </c>
      <c r="B690" s="7" t="inlineStr">
        <is>
          <t>L1</t>
        </is>
      </c>
      <c r="C690" s="5" t="inlineStr">
        <is>
          <t>Chassis Containment Hierarchy (Tc7.5.4-4, Blanton BMC plan TPI-151974, read-only)</t>
        </is>
      </c>
      <c r="D690" t="inlineStr">
        <is>
          <t>Yes</t>
        </is>
      </c>
      <c r="E690" t="inlineStr">
        <is>
          <t>no</t>
        </is>
      </c>
      <c r="H690" s="21" t="inlineStr">
        <is>
          <t>Not run yet: added 20 Oct 2026 from Juniper TPI-151974 v1.2 (Blanton BMC plan, Tc7.5.4-4); automated read-only in tests/bmc/test_blanton_arim.py. Needs the switch's bmc / bmc_user in the inventory and its BMC password (UI); an ARIM: arim: {url, user} + $HELIOS_ARIM_PASSWORD</t>
        </is>
      </c>
      <c r="I690" s="21" t="inlineStr">
        <is>
          <t>ARIM Redfish (HTTPS)</t>
        </is>
      </c>
      <c r="J690" s="21" t="inlineStr">
        <is>
          <t>BMC (ARIM rack manager)</t>
        </is>
      </c>
      <c r="K690" s="21" t="inlineStr">
        <is>
          <t>Added - helios-tests (20 Oct 2026)</t>
        </is>
      </c>
      <c r="L690" s="21" t="inlineStr">
        <is>
          <t>Non-disruptive</t>
        </is>
      </c>
    </row>
    <row r="691" ht="32" customHeight="1" s="33">
      <c r="A691" s="7" t="inlineStr">
        <is>
          <t>TC-BLT-7.5.5-1</t>
        </is>
      </c>
      <c r="B691" s="7" t="inlineStr">
        <is>
          <t>L1</t>
        </is>
      </c>
      <c r="C691" s="5" t="inlineStr">
        <is>
          <t>ComponentIntegrity Collection (Tc7.5.5-1, Blanton BMC plan TPI-151974, read-only)</t>
        </is>
      </c>
      <c r="D691" t="inlineStr">
        <is>
          <t>Yes</t>
        </is>
      </c>
      <c r="E691" t="inlineStr">
        <is>
          <t>no</t>
        </is>
      </c>
      <c r="H691" s="21" t="inlineStr">
        <is>
          <t>Not run yet: added 20 Oct 2026 from Juniper TPI-151974 v1.2 (Blanton BMC plan, Tc7.5.5-1); automated read-only in tests/bmc/test_blanton_arim.py. Needs the switch's bmc / bmc_user in the inventory and its BMC password (UI); an ARIM: arim: {url, user} + $HELIOS_ARIM_PASSWORD</t>
        </is>
      </c>
      <c r="I691" s="21" t="inlineStr">
        <is>
          <t>ARIM Redfish (HTTPS)</t>
        </is>
      </c>
      <c r="J691" s="21" t="inlineStr">
        <is>
          <t>BMC (ARIM rack manager)</t>
        </is>
      </c>
      <c r="K691" s="21" t="inlineStr">
        <is>
          <t>Added - helios-tests (20 Oct 2026)</t>
        </is>
      </c>
      <c r="L691" s="21" t="inlineStr">
        <is>
          <t>Non-disruptive</t>
        </is>
      </c>
    </row>
    <row r="692" ht="32" customHeight="1" s="33">
      <c r="A692" s="7" t="inlineStr">
        <is>
          <t>TC-BLT-7.5.7-1</t>
        </is>
      </c>
      <c r="B692" s="7" t="inlineStr">
        <is>
          <t>L1</t>
        </is>
      </c>
      <c r="C692" s="5" t="inlineStr">
        <is>
          <t>PowerEquipment Singleton (Tc7.5.7-1, Blanton BMC plan TPI-151974, read-only)</t>
        </is>
      </c>
      <c r="D692" t="inlineStr">
        <is>
          <t>Yes</t>
        </is>
      </c>
      <c r="E692" t="inlineStr">
        <is>
          <t>no</t>
        </is>
      </c>
      <c r="H692" s="21" t="inlineStr">
        <is>
          <t>Not run yet: added 20 Oct 2026 from Juniper TPI-151974 v1.2 (Blanton BMC plan, Tc7.5.7-1); automated read-only in tests/bmc/test_blanton_arim.py. Needs the switch's bmc / bmc_user in the inventory and its BMC password (UI); an ARIM: arim: {url, user} + $HELIOS_ARIM_PASSWORD</t>
        </is>
      </c>
      <c r="I692" s="21" t="inlineStr">
        <is>
          <t>ARIM Redfish (HTTPS)</t>
        </is>
      </c>
      <c r="J692" s="21" t="inlineStr">
        <is>
          <t>BMC (ARIM rack manager)</t>
        </is>
      </c>
      <c r="K692" s="21" t="inlineStr">
        <is>
          <t>Added - helios-tests (20 Oct 2026)</t>
        </is>
      </c>
      <c r="L692" s="21" t="inlineStr">
        <is>
          <t>Non-disruptive</t>
        </is>
      </c>
    </row>
    <row r="693" ht="32" customHeight="1" s="33">
      <c r="A693" s="7" t="inlineStr">
        <is>
          <t>TC-BLT-7.5.7-2</t>
        </is>
      </c>
      <c r="B693" s="7" t="inlineStr">
        <is>
          <t>L1</t>
        </is>
      </c>
      <c r="C693" s="5" t="inlineStr">
        <is>
          <t>Power Shelf Sub-Resources (Tc7.5.7-2, Blanton BMC plan TPI-151974, read-only)</t>
        </is>
      </c>
      <c r="D693" t="inlineStr">
        <is>
          <t>Yes</t>
        </is>
      </c>
      <c r="E693" t="inlineStr">
        <is>
          <t>no</t>
        </is>
      </c>
      <c r="H693" s="21" t="inlineStr">
        <is>
          <t>Not run yet: added 20 Oct 2026 from Juniper TPI-151974 v1.2 (Blanton BMC plan, Tc7.5.7-2); automated read-only in tests/bmc/test_blanton_arim.py. Needs the switch's bmc / bmc_user in the inventory and its BMC password (UI); an ARIM: arim: {url, user} + $HELIOS_ARIM_PASSWORD</t>
        </is>
      </c>
      <c r="I693" s="21" t="inlineStr">
        <is>
          <t>ARIM Redfish (HTTPS)</t>
        </is>
      </c>
      <c r="J693" s="21" t="inlineStr">
        <is>
          <t>BMC (ARIM rack manager)</t>
        </is>
      </c>
      <c r="K693" s="21" t="inlineStr">
        <is>
          <t>Added - helios-tests (20 Oct 2026)</t>
        </is>
      </c>
      <c r="L693" s="21" t="inlineStr">
        <is>
          <t>Non-disruptive</t>
        </is>
      </c>
    </row>
    <row r="694" ht="32" customHeight="1" s="33">
      <c r="A694" s="7" t="inlineStr">
        <is>
          <t>TC-BLT-7.5.7-3</t>
        </is>
      </c>
      <c r="B694" s="7" t="inlineStr">
        <is>
          <t>L1</t>
        </is>
      </c>
      <c r="C694" s="5" t="inlineStr">
        <is>
          <t>Super Cap Battery Resources (Tc7.5.7-3, Blanton BMC plan TPI-151974, read-only)</t>
        </is>
      </c>
      <c r="D694" t="inlineStr">
        <is>
          <t>Yes</t>
        </is>
      </c>
      <c r="E694" t="inlineStr">
        <is>
          <t>no</t>
        </is>
      </c>
      <c r="H694" s="21" t="inlineStr">
        <is>
          <t>Not run yet: added 20 Oct 2026 from Juniper TPI-151974 v1.2 (Blanton BMC plan, Tc7.5.7-3); automated read-only in tests/bmc/test_blanton_arim.py. Needs the switch's bmc / bmc_user in the inventory and its BMC password (UI); an ARIM: arim: {url, user} + $HELIOS_ARIM_PASSWORD</t>
        </is>
      </c>
      <c r="I694" s="21" t="inlineStr">
        <is>
          <t>ARIM Redfish (HTTPS)</t>
        </is>
      </c>
      <c r="J694" s="21" t="inlineStr">
        <is>
          <t>BMC (ARIM rack manager)</t>
        </is>
      </c>
      <c r="K694" s="21" t="inlineStr">
        <is>
          <t>Added - helios-tests (20 Oct 2026)</t>
        </is>
      </c>
      <c r="L694" s="21" t="inlineStr">
        <is>
          <t>Non-disruptive</t>
        </is>
      </c>
    </row>
    <row r="695" ht="32" customHeight="1" s="33">
      <c r="A695" s="7" t="inlineStr">
        <is>
          <t>TC-BLT-7.5.8-1</t>
        </is>
      </c>
      <c r="B695" s="7" t="inlineStr">
        <is>
          <t>L1</t>
        </is>
      </c>
      <c r="C695" s="5" t="inlineStr">
        <is>
          <t>EventService Configuration (Tc7.5.8-1, Blanton BMC plan TPI-151974, read-only)</t>
        </is>
      </c>
      <c r="D695" t="inlineStr">
        <is>
          <t>Yes</t>
        </is>
      </c>
      <c r="E695" t="inlineStr">
        <is>
          <t>no</t>
        </is>
      </c>
      <c r="H695" s="21" t="inlineStr">
        <is>
          <t>Not run yet: added 20 Oct 2026 from Juniper TPI-151974 v1.2 (Blanton BMC plan, Tc7.5.8-1); automated read-only in tests/bmc/test_blanton_arim.py. Needs the switch's bmc / bmc_user in the inventory and its BMC password (UI); an ARIM: arim: {url, user} + $HELIOS_ARIM_PASSWORD</t>
        </is>
      </c>
      <c r="I695" s="21" t="inlineStr">
        <is>
          <t>ARIM Redfish (HTTPS)</t>
        </is>
      </c>
      <c r="J695" s="21" t="inlineStr">
        <is>
          <t>BMC (ARIM rack manager)</t>
        </is>
      </c>
      <c r="K695" s="21" t="inlineStr">
        <is>
          <t>Added - helios-tests (20 Oct 2026)</t>
        </is>
      </c>
      <c r="L695" s="21" t="inlineStr">
        <is>
          <t>Non-disruptive</t>
        </is>
      </c>
    </row>
    <row r="696" ht="32" customHeight="1" s="33">
      <c r="A696" s="7" t="inlineStr">
        <is>
          <t>TC-BLT-7.5.9-1</t>
        </is>
      </c>
      <c r="B696" s="7" t="inlineStr">
        <is>
          <t>L1</t>
        </is>
      </c>
      <c r="C696" s="5" t="inlineStr">
        <is>
          <t>Deduplicated MetricDefinitions (Tc7.5.9-1, Blanton BMC plan TPI-151974, read-only)</t>
        </is>
      </c>
      <c r="D696" t="inlineStr">
        <is>
          <t>Yes</t>
        </is>
      </c>
      <c r="E696" t="inlineStr">
        <is>
          <t>no</t>
        </is>
      </c>
      <c r="H696" s="21" t="inlineStr">
        <is>
          <t>Not run yet: added 20 Oct 2026 from Juniper TPI-151974 v1.2 (Blanton BMC plan, Tc7.5.9-1); automated read-only in tests/bmc/test_blanton_arim.py. Needs the switch's bmc / bmc_user in the inventory and its BMC password (UI); an ARIM: arim: {url, user} + $HELIOS_ARIM_PASSWORD</t>
        </is>
      </c>
      <c r="I696" s="21" t="inlineStr">
        <is>
          <t>ARIM Redfish (HTTPS)</t>
        </is>
      </c>
      <c r="J696" s="21" t="inlineStr">
        <is>
          <t>BMC (ARIM rack manager)</t>
        </is>
      </c>
      <c r="K696" s="21" t="inlineStr">
        <is>
          <t>Added - helios-tests (20 Oct 2026)</t>
        </is>
      </c>
      <c r="L696" s="21" t="inlineStr">
        <is>
          <t>Non-disruptive</t>
        </is>
      </c>
    </row>
    <row r="697" ht="32" customHeight="1" s="33">
      <c r="A697" s="7" t="inlineStr">
        <is>
          <t>TC-BLT-7.5.10-1</t>
        </is>
      </c>
      <c r="B697" s="7" t="inlineStr">
        <is>
          <t>L1</t>
        </is>
      </c>
      <c r="C697" s="5" t="inlineStr">
        <is>
          <t>Task Tracking for Async Operations (Tc7.5.10-1, Blanton BMC plan TPI-151974, read-only)</t>
        </is>
      </c>
      <c r="D697" t="inlineStr">
        <is>
          <t>Yes</t>
        </is>
      </c>
      <c r="E697" t="inlineStr">
        <is>
          <t>no</t>
        </is>
      </c>
      <c r="H697" s="21" t="inlineStr">
        <is>
          <t>Not run yet: added 20 Oct 2026 from Juniper TPI-151974 v1.2 (Blanton BMC plan, Tc7.5.10-1); automated read-only in tests/bmc/test_blanton_arim.py. Needs the switch's bmc / bmc_user in the inventory and its BMC password (UI); an ARIM: arim: {url, user} + $HELIOS_ARIM_PASSWORD</t>
        </is>
      </c>
      <c r="I697" s="21" t="inlineStr">
        <is>
          <t>ARIM Redfish (HTTPS)</t>
        </is>
      </c>
      <c r="J697" s="21" t="inlineStr">
        <is>
          <t>BMC (ARIM rack manager)</t>
        </is>
      </c>
      <c r="K697" s="21" t="inlineStr">
        <is>
          <t>Added - helios-tests (20 Oct 2026)</t>
        </is>
      </c>
      <c r="L697" s="21" t="inlineStr">
        <is>
          <t>Non-disruptive</t>
        </is>
      </c>
    </row>
    <row r="698" ht="32" customHeight="1" s="33">
      <c r="A698" s="7" t="inlineStr">
        <is>
          <t>TC-BLT-7.5.11-1</t>
        </is>
      </c>
      <c r="B698" s="7" t="inlineStr">
        <is>
          <t>L1</t>
        </is>
      </c>
      <c r="C698" s="5" t="inlineStr">
        <is>
          <t>Aggregated FirmwareInventory (Tc7.5.11-1, Blanton BMC plan TPI-151974, read-only)</t>
        </is>
      </c>
      <c r="D698" t="inlineStr">
        <is>
          <t>Yes</t>
        </is>
      </c>
      <c r="E698" t="inlineStr">
        <is>
          <t>no</t>
        </is>
      </c>
      <c r="H698" s="21" t="inlineStr">
        <is>
          <t>Not run yet: added 20 Oct 2026 from Juniper TPI-151974 v1.2 (Blanton BMC plan, Tc7.5.11-1); automated read-only in tests/bmc/test_blanton_arim.py. Needs the switch's bmc / bmc_user in the inventory and its BMC password (UI); an ARIM: arim: {url, user} + $HELIOS_ARIM_PASSWORD</t>
        </is>
      </c>
      <c r="I698" s="21" t="inlineStr">
        <is>
          <t>ARIM Redfish (HTTPS)</t>
        </is>
      </c>
      <c r="J698" s="21" t="inlineStr">
        <is>
          <t>BMC (ARIM rack manager)</t>
        </is>
      </c>
      <c r="K698" s="21" t="inlineStr">
        <is>
          <t>Added - helios-tests (20 Oct 2026)</t>
        </is>
      </c>
      <c r="L698" s="21" t="inlineStr">
        <is>
          <t>Non-disruptive</t>
        </is>
      </c>
    </row>
  </sheetData>
  <autoFilter ref="A2:L698">
    <filterColumn colId="3" hiddenButton="0" showButton="1">
      <filters>
        <filter val="No"/>
      </filters>
    </filterColumn>
    <filterColumn colId="11" hiddenButton="0" showButton="1">
      <filters>
        <filter val="Disruptive (est.)"/>
      </filters>
    </filterColumn>
  </autoFilter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:G1"/>
    </sheetView>
  </sheetViews>
  <sheetFormatPr baseColWidth="10" defaultColWidth="8.83203125" defaultRowHeight="15"/>
  <cols>
    <col width="18" customWidth="1" style="33" min="1" max="1"/>
    <col width="8" customWidth="1" style="33" min="2" max="2"/>
    <col width="10" customWidth="1" style="33" min="3" max="3"/>
    <col width="14" customWidth="1" style="33" min="4" max="5"/>
    <col width="38" customWidth="1" style="33" min="6" max="6"/>
    <col width="80" customWidth="1" style="33" min="7" max="7"/>
    <col width="42" customWidth="1" style="33" min="8" max="8"/>
    <col width="22" customWidth="1" style="33" min="10" max="10"/>
  </cols>
  <sheetData>
    <row r="1" ht="26" customHeight="1" s="33">
      <c r="A1" s="34" t="inlineStr">
        <is>
          <t>Bucket: mortaro</t>
        </is>
      </c>
    </row>
    <row r="2" ht="22.25" customHeight="1" s="33">
      <c r="A2" s="1" t="inlineStr">
        <is>
          <t>TC ID</t>
        </is>
      </c>
      <c r="B2" s="1" t="inlineStr">
        <is>
          <t>Level</t>
        </is>
      </c>
      <c r="C2" s="1" t="inlineStr">
        <is>
          <t>Status</t>
        </is>
      </c>
      <c r="D2" s="1" t="inlineStr">
        <is>
          <t>Category</t>
        </is>
      </c>
      <c r="E2" s="1" t="inlineStr">
        <is>
          <t>Bucket</t>
        </is>
      </c>
      <c r="F2" s="1" t="inlineStr">
        <is>
          <t>Suites</t>
        </is>
      </c>
      <c r="G2" s="1" t="inlineStr">
        <is>
          <t>Description</t>
        </is>
      </c>
      <c r="H2" s="1" t="inlineStr">
        <is>
          <t>Access needed</t>
        </is>
      </c>
      <c r="I2" s="1" t="inlineStr">
        <is>
          <t>Scope</t>
        </is>
      </c>
      <c r="J2" s="1" t="inlineStr">
        <is>
          <t>Disruptive</t>
        </is>
      </c>
    </row>
    <row r="3" ht="20" customHeight="1" s="33">
      <c r="A3" s="32" t="inlineStr">
        <is>
          <t>L1 Tests (3 tests)</t>
        </is>
      </c>
    </row>
    <row r="4" ht="34.25" customHeight="1" s="33">
      <c r="A4" s="3" t="inlineStr">
        <is>
          <t>TC-IBS-001</t>
        </is>
      </c>
      <c r="B4" s="3" t="inlineStr">
        <is>
          <t>L1</t>
        </is>
      </c>
      <c r="C4" s="3" t="inlineStr">
        <is>
          <t>ACTIVE</t>
        </is>
      </c>
      <c r="D4" s="3" t="inlineStr">
        <is>
          <t>scale-out</t>
        </is>
      </c>
      <c r="E4" s="3" t="inlineStr">
        <is>
          <t>mortaro</t>
        </is>
      </c>
      <c r="F4" s="3" t="inlineStr">
        <is>
          <t>mortaro-benic-level1, level1, mortaro-benic-full</t>
        </is>
      </c>
      <c r="G4" s="3" t="inlineStr">
        <is>
          <t>Basic crossnode bandwidth test — the daily-driver smoke test. Runs a single IB verb (ib_write_bw) across all 4 port pairs in parallel, using GPU memory over IPv6 in bidirectional mode. Validates that all NIC ports and GPU paths are functional with acceptable bandwidth.</t>
        </is>
      </c>
      <c r="H4" s="30" t="inlineStr">
        <is>
          <t>Compute SSH + scale-out NICs</t>
        </is>
      </c>
      <c r="I4" t="inlineStr">
        <is>
          <t>Compute</t>
        </is>
      </c>
      <c r="J4" s="3" t="inlineStr">
        <is>
          <t>Non-disruptive</t>
        </is>
      </c>
    </row>
    <row r="5" ht="34.25" customHeight="1" s="33">
      <c r="A5" s="2" t="inlineStr">
        <is>
          <t>TC-IBS-002</t>
        </is>
      </c>
      <c r="B5" s="2" t="inlineStr">
        <is>
          <t>L1</t>
        </is>
      </c>
      <c r="C5" s="2" t="inlineStr">
        <is>
          <t>ACTIVE</t>
        </is>
      </c>
      <c r="D5" s="2" t="inlineStr">
        <is>
          <t>scale-out</t>
        </is>
      </c>
      <c r="E5" s="2" t="inlineStr">
        <is>
          <t>mortaro</t>
        </is>
      </c>
      <c r="F5" s="2" t="inlineStr">
        <is>
          <t>mortaro-benic-level1, level1, mortaro-benic-full</t>
        </is>
      </c>
      <c r="G5" s="2" t="inlineStr">
        <is>
          <t>Multi-verb bandwidth sweep — runs all 5 BW verbs (write, write_imm, send, send_imm, read) across all 4 port pairs. Validates that all RDMA verb types function correctly with GPU memory. This is the standard sanity test.</t>
        </is>
      </c>
      <c r="H5" s="31" t="inlineStr">
        <is>
          <t>Compute SSH + scale-out NICs</t>
        </is>
      </c>
      <c r="I5" t="inlineStr">
        <is>
          <t>Compute</t>
        </is>
      </c>
      <c r="J5" s="2" t="inlineStr">
        <is>
          <t>Non-disruptive</t>
        </is>
      </c>
    </row>
    <row r="6" ht="34.25" customHeight="1" s="33">
      <c r="A6" s="3" t="inlineStr">
        <is>
          <t>TC-IBS-005</t>
        </is>
      </c>
      <c r="B6" s="3" t="inlineStr">
        <is>
          <t>L1</t>
        </is>
      </c>
      <c r="C6" s="3" t="inlineStr">
        <is>
          <t>ACTIVE</t>
        </is>
      </c>
      <c r="D6" s="3" t="inlineStr">
        <is>
          <t>scale-out</t>
        </is>
      </c>
      <c r="E6" s="3" t="inlineStr">
        <is>
          <t>mortaro</t>
        </is>
      </c>
      <c r="F6" s="3" t="inlineStr">
        <is>
          <t>mortaro-benic-level1, level1, mortaro-benic-full</t>
        </is>
      </c>
      <c r="G6" s="3" t="inlineStr">
        <is>
          <t>Single-node loopback bandwidth test — runs ib_write_bw between port pairs on the same node (P1-P2, P3-P4). Validates internal NIC-to-NIC data path and GPU memory access without requiring a second node.</t>
        </is>
      </c>
      <c r="H6" s="30" t="inlineStr">
        <is>
          <t>Compute SSH + scale-out NICs</t>
        </is>
      </c>
      <c r="I6" t="inlineStr">
        <is>
          <t>Compute</t>
        </is>
      </c>
      <c r="J6" s="3" t="inlineStr">
        <is>
          <t>Non-disruptive</t>
        </is>
      </c>
    </row>
    <row r="7" ht="20" customHeight="1" s="33">
      <c r="A7" s="32" t="inlineStr">
        <is>
          <t>L2 Tests (1 tests)</t>
        </is>
      </c>
    </row>
    <row r="8" ht="34.25" customHeight="1" s="33">
      <c r="A8" s="3" t="inlineStr">
        <is>
          <t>TC-IBS-003</t>
        </is>
      </c>
      <c r="B8" s="3" t="inlineStr">
        <is>
          <t>L2</t>
        </is>
      </c>
      <c r="C8" s="3" t="inlineStr">
        <is>
          <t>ACTIVE</t>
        </is>
      </c>
      <c r="D8" s="3" t="inlineStr">
        <is>
          <t>scale-out</t>
        </is>
      </c>
      <c r="E8" s="3" t="inlineStr">
        <is>
          <t>mortaro</t>
        </is>
      </c>
      <c r="F8" s="3" t="inlineStr">
        <is>
          <t>(unassigned)</t>
        </is>
      </c>
      <c r="G8" s="3" t="inlineStr">
        <is>
          <t>Queue pair scaling test — sweeps QP counts from 8 to 256 using ib_write_bw with GPU memory. Validates that bandwidth scales or remains stable as QP count increases, and that no CQE errors or hangs occur at higher QP counts.</t>
        </is>
      </c>
      <c r="H8" s="30" t="inlineStr">
        <is>
          <t>Compute SSH + scale-out NICs</t>
        </is>
      </c>
      <c r="I8" t="inlineStr">
        <is>
          <t>Compute</t>
        </is>
      </c>
      <c r="J8" s="3" t="inlineStr">
        <is>
          <t>Non-disruptive</t>
        </is>
      </c>
    </row>
    <row r="9" ht="20" customHeight="1" s="33">
      <c r="A9" s="32" t="inlineStr">
        <is>
          <t>L3 Tests (2 tests)</t>
        </is>
      </c>
    </row>
    <row r="10" ht="34.25" customHeight="1" s="33">
      <c r="A10" s="3" t="inlineStr">
        <is>
          <t>TC-IBS-004</t>
        </is>
      </c>
      <c r="B10" s="3" t="inlineStr">
        <is>
          <t>L3</t>
        </is>
      </c>
      <c r="C10" s="3" t="inlineStr">
        <is>
          <t>ACTIVE</t>
        </is>
      </c>
      <c r="D10" s="3" t="inlineStr">
        <is>
          <t>scale-out</t>
        </is>
      </c>
      <c r="E10" s="3" t="inlineStr">
        <is>
          <t>mortaro</t>
        </is>
      </c>
      <c r="F10" s="3" t="inlineStr">
        <is>
          <t>(unassigned)</t>
        </is>
      </c>
      <c r="G10" s="3" t="inlineStr">
        <is>
          <t>Full parameter matrix regression — runs all 5 BW verbs across both memory types (CPU + GPU), both address families (IPv4 + IPv6), and both directions (unidir + bidir). This is the comprehensive regression test that covers all permutations. Total test count: 5 verbs x 2 mem x 2 AF x 2 dir x 4 pairs = 320.</t>
        </is>
      </c>
      <c r="H10" s="30" t="inlineStr">
        <is>
          <t>Compute SSH + scale-out NICs</t>
        </is>
      </c>
      <c r="I10" t="inlineStr">
        <is>
          <t>Compute</t>
        </is>
      </c>
      <c r="J10" s="3" t="inlineStr">
        <is>
          <t>Non-disruptive</t>
        </is>
      </c>
    </row>
    <row r="11" ht="34.25" customHeight="1" s="33">
      <c r="A11" s="2" t="inlineStr">
        <is>
          <t>TC-IBS-006</t>
        </is>
      </c>
      <c r="B11" s="2" t="inlineStr">
        <is>
          <t>L3</t>
        </is>
      </c>
      <c r="C11" s="2" t="inlineStr">
        <is>
          <t>ACTIVE</t>
        </is>
      </c>
      <c r="D11" s="2" t="inlineStr">
        <is>
          <t>scale-out</t>
        </is>
      </c>
      <c r="E11" s="2" t="inlineStr">
        <is>
          <t>mortaro</t>
        </is>
      </c>
      <c r="F11" s="2" t="inlineStr">
        <is>
          <t>(unassigned)</t>
        </is>
      </c>
      <c r="G11" s="2" t="inlineStr">
        <is>
          <t>Fully configurable test case — the user specifies any combination of verbs, QP counts, memory type, address family, direction, port pairs, and iteration count at runtime. Used for targeted debugging, bisecting failures, and one-off validation runs that don't fit a named suite tier.</t>
        </is>
      </c>
      <c r="H11" s="31" t="inlineStr">
        <is>
          <t>Compute SSH + scale-out NICs</t>
        </is>
      </c>
      <c r="I11" t="inlineStr">
        <is>
          <t>Compute</t>
        </is>
      </c>
      <c r="J11" s="2" t="inlineStr">
        <is>
          <t>Non-disruptive</t>
        </is>
      </c>
    </row>
  </sheetData>
  <mergeCells count="4">
    <mergeCell ref="A3:G3"/>
    <mergeCell ref="A1:G1"/>
    <mergeCell ref="A7:G7"/>
    <mergeCell ref="A9:G9"/>
  </mergeCells>
  <pageMargins left="0.75" right="0.75" top="1" bottom="1" header="0.5" footer="0.5"/>
  <headerFooter>
    <oddHeader>&amp;L&amp;"Aptos"&amp;1 &amp;K0000FF AMD General#_x000d_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36" sqref="A36"/>
    </sheetView>
  </sheetViews>
  <sheetFormatPr baseColWidth="10" defaultColWidth="8.83203125" defaultRowHeight="15"/>
  <cols>
    <col width="70" customWidth="1" style="33" min="1" max="1"/>
    <col width="14" customWidth="1" style="33" min="2" max="2"/>
  </cols>
  <sheetData>
    <row r="1" ht="17" customHeight="1" s="33">
      <c r="A1" s="24" t="inlineStr">
        <is>
          <t>Execution Summary - Helios ScaleUp test plan</t>
        </is>
      </c>
    </row>
    <row r="3">
      <c r="A3" s="25" t="inlineStr">
        <is>
          <t>Execution Status</t>
        </is>
      </c>
      <c r="B3" s="25" t="inlineStr">
        <is>
          <t>Count</t>
        </is>
      </c>
    </row>
    <row r="4">
      <c r="A4" s="26" t="inlineStr">
        <is>
          <t>PASS</t>
        </is>
      </c>
      <c r="B4" s="26">
        <f>COUNTIF(Testcases!$F$3:$F$1000,"PASS")</f>
        <v/>
      </c>
    </row>
    <row r="5">
      <c r="A5" s="26" t="inlineStr">
        <is>
          <t>FAIL</t>
        </is>
      </c>
      <c r="B5" s="26">
        <f>COUNTIF(Testcases!$F$3:$F$1000,"FAIL")</f>
        <v/>
      </c>
    </row>
    <row r="6">
      <c r="A6" s="26" t="inlineStr">
        <is>
          <t>Pending</t>
        </is>
      </c>
      <c r="B6" s="26">
        <f>COUNTIF(Testcases!$F$3:$F$1000,"Pending")</f>
        <v/>
      </c>
    </row>
    <row r="7">
      <c r="A7" s="26" t="inlineStr">
        <is>
          <t>Not yet executed (no status)</t>
        </is>
      </c>
      <c r="B7" s="26">
        <f>COUNTIFS(Testcases!$C$3:$C$1000,"&lt;&gt;",Testcases!$F$3:$F$1000,"")</f>
        <v/>
      </c>
    </row>
    <row r="8">
      <c r="A8" s="26" t="inlineStr">
        <is>
          <t>Total test cases</t>
        </is>
      </c>
      <c r="B8" s="26">
        <f>COUNTA(Testcases!$C$3:$C$1000)</f>
        <v/>
      </c>
    </row>
    <row r="9">
      <c r="A9" s="26" t="inlineStr">
        <is>
          <t>Executed pass rate (PASS / (PASS+FAIL))</t>
        </is>
      </c>
      <c r="B9" s="27">
        <f>IFERROR(B4/(B4+B5),0)</f>
        <v/>
      </c>
    </row>
    <row r="10">
      <c r="A10" s="26" t="inlineStr">
        <is>
          <t>AMD help needed (product issues)</t>
        </is>
      </c>
      <c r="B10" s="26">
        <f>COUNTIF(Testcases!$E$3:$E$1000,"yes")</f>
        <v/>
      </c>
    </row>
    <row r="11">
      <c r="A11" s="26" t="inlineStr">
        <is>
          <t>Automation = Yes (a test exists)</t>
        </is>
      </c>
      <c r="B11" s="26">
        <f>COUNTIF(Testcases!$D$3:$D$1000,"Yes")</f>
        <v/>
      </c>
    </row>
    <row r="12">
      <c r="A12" s="26" t="inlineStr">
        <is>
          <t>Automated, not yet run on this rack (Automation = Yes, no status)</t>
        </is>
      </c>
      <c r="B12" s="26">
        <f>COUNTIFS(Testcases!$D$3:$D$1000,"Yes",Testcases!$F$3:$F$1000,"")</f>
        <v/>
      </c>
    </row>
    <row r="15">
      <c r="A15" s="28" t="inlineStr">
        <is>
          <t>Execution context</t>
        </is>
      </c>
    </row>
    <row r="16">
      <c r="A16" s="29" t="inlineStr">
        <is>
          <t>Rack: g02-g17 full rack (6 sw / 17 CT), 10-11 Oct 2026 (AFM L2 batch); 12 Oct 2026 traffic validation with all 18 compute trays (72 GPUs) admitted. Switches 10.190.198.46-.51 (controllers .51/.50/.49), 17 compute trays x 4 GPUs (68 GPUs), sideband control mode, not MCH.</t>
        </is>
      </c>
    </row>
    <row r="17">
      <c r="A17" s="29" t="inlineStr">
        <is>
          <t>Software: AFM 0.1.0-AICC-817 (vcs 7f4afe07a, built 2026-10-05); ROCm 10.2.0; RCCL 2.31.2; amdgpu 3.65.0; afmctl 0.0.1-85. 12 Oct traffic validation: RACK-BKC-RCRD-26.12-rc5, ROCm 10.2.0a20260922, amdgpu 7.1.0, IFoE 0.2.10.1000, afmctl 0.0.1-94, TransferBench v1.70.02, RcclSmokeTest v1.0.0, SONiC 202505I20260915.</t>
        </is>
      </c>
    </row>
    <row r="18">
      <c r="A18" s="29" t="inlineStr">
        <is>
          <t>Baseline: system vPOD pod-1.system degraded, planes 36/33/33 -&gt; 36/32/32 (user-approved, Ethernet251 down); later 60 GPUs / 36/34/34 after CT13/CT14 removal.</t>
        </is>
      </c>
    </row>
    <row r="19">
      <c r="A19" s="29" t="inlineStr">
        <is>
          <t>Status = final verdict after reruns. 'Pending' = not executed, not applicable on this rack, or a rerun is required.</t>
        </is>
      </c>
    </row>
    <row r="20">
      <c r="A20" s="29" t="inlineStr">
        <is>
          <t>Log-test to plan-ID mapping is by title; rows whose notes say 'mapping inferred' should be confirmed.</t>
        </is>
      </c>
    </row>
    <row r="21">
      <c r="A21" s="29" t="inlineStr">
        <is>
          <t>Source: results/AMD-Fullrack-logs/command-log.md (10-11 Oct; contains plaintext credentials - do not share unredacted) and g02-g17-traffic-validation-20261012.md (12 Oct).</t>
        </is>
      </c>
    </row>
    <row r="22">
      <c r="A22" s="29" t="n"/>
    </row>
    <row r="23">
      <c r="A23" s="28" t="inlineStr">
        <is>
          <t>Product issues observed (AMD follow-up)</t>
        </is>
      </c>
    </row>
    <row r="24">
      <c r="A24" s="29" t="inlineStr">
        <is>
          <t>1. Available switch planes not restored after switch delete/readmit (TC-AFM-026, 033) - manual vPOD Reconcile required.</t>
        </is>
      </c>
    </row>
    <row r="25">
      <c r="A25" s="29" t="inlineStr">
        <is>
          <t>2. VLAN programming wiped on a switch while AFM reports it healthy (TC-AFM-027, AIFM-1901).</t>
        </is>
      </c>
    </row>
    <row r="26">
      <c r="A26" s="29" t="inlineStr">
        <is>
          <t>3. Coupled switch ports - shutting one port drops a neighbour (.48 Eth243/251, .50 Eth170/162) (TC-AFM-012).</t>
        </is>
      </c>
    </row>
    <row r="27">
      <c r="A27" s="29" t="inlineStr">
        <is>
          <t>4. Compute trays hang during TransferBench at 'Copy (D2D) (Remote Write)' (CT15, CT16) with corrected PCIe/MC errors (TC-RAS-reset-012/014).</t>
        </is>
      </c>
    </row>
    <row r="28">
      <c r="A28" s="29" t="inlineStr">
        <is>
          <t>5. Transient vPOD configurationfailed (planes 0/0/36) for 1-2 min after mass afm-agent restart; sb-node-agent slots re-home between switches.</t>
        </is>
      </c>
    </row>
    <row r="29">
      <c r="A29" s="29" t="inlineStr">
        <is>
          <t>6. Compute readmit can exceed 120s (124-134s observed, AIFM-1512).</t>
        </is>
      </c>
    </row>
    <row r="30">
      <c r="A30" s="29" t="n"/>
    </row>
    <row r="31">
      <c r="A31" s="28" t="inlineStr">
        <is>
          <t>Test-script issues found in the run (fixed or to fix in the TC sources)</t>
        </is>
      </c>
    </row>
    <row r="32">
      <c r="A32" s="29" t="inlineStr">
        <is>
          <t>pgrep self-match under --pid=host; cookie/target file name mismatches; PortFailed checked on computenodes items[0] only; non-existent status.vpod-membership (membership is per GPU); sudo -E drops AFMCTL_FORCE_UPDATE; journalctl --since without UTC; checks.py KeyError 'conditions' on a node without conditions; runner clock ~6m37s behind switches.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2026-08-07T14:31:40Z</dcterms:created>
  <dcterms:modified xsi:type="dcterms:W3CDTF">2026-10-20T15:40:17Z</dcterms:modified>
  <cp:lastModifiedBy>Sharma, Suraj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0x0101001C498B3B3CF97041A3950FBFFD3A761B</vt:lpwstr>
  </property>
  <property name="MediaServiceImageTags" fmtid="{D5CDD505-2E9C-101B-9397-08002B2CF9AE}" pid="3">
    <vt:lpwstr/>
  </property>
</Properties>
</file>